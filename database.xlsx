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2agroup-my.sharepoint.com/personal/marco_canu_a2a_it/Documents/Desktop/KKS_APP/"/>
    </mc:Choice>
  </mc:AlternateContent>
  <xr:revisionPtr revIDLastSave="47" documentId="8_{AD2EAF2E-3092-4A86-8440-0A6090F48618}" xr6:coauthVersionLast="47" xr6:coauthVersionMax="47" xr10:uidLastSave="{C1FEA70A-62D8-474B-9050-E01B478FAC70}"/>
  <bookViews>
    <workbookView xWindow="-108" yWindow="-108" windowWidth="23256" windowHeight="12456" xr2:uid="{3916DFB3-0DCF-45B0-92B9-2B8E1E4C2B99}"/>
  </bookViews>
  <sheets>
    <sheet name="Foglio1" sheetId="1" r:id="rId1"/>
  </sheets>
  <definedNames>
    <definedName name="_xlnm._FilterDatabase" localSheetId="0" hidden="1">Foglio1!$A$1:$G$1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10" i="1" l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64" i="1"/>
  <c r="K363" i="1"/>
  <c r="K362" i="1"/>
  <c r="K361" i="1"/>
  <c r="I361" i="1"/>
  <c r="K360" i="1"/>
  <c r="I360" i="1"/>
  <c r="K359" i="1"/>
  <c r="I359" i="1"/>
  <c r="K358" i="1"/>
  <c r="I358" i="1"/>
  <c r="K357" i="1"/>
  <c r="I357" i="1"/>
  <c r="K356" i="1"/>
  <c r="K355" i="1"/>
  <c r="K354" i="1"/>
  <c r="K353" i="1"/>
  <c r="K352" i="1"/>
  <c r="K351" i="1"/>
  <c r="I351" i="1"/>
  <c r="K350" i="1"/>
  <c r="I350" i="1"/>
  <c r="K349" i="1"/>
  <c r="I349" i="1"/>
  <c r="K348" i="1"/>
  <c r="I348" i="1"/>
  <c r="K347" i="1"/>
  <c r="I347" i="1"/>
  <c r="K346" i="1"/>
  <c r="I346" i="1"/>
  <c r="K345" i="1"/>
  <c r="I345" i="1"/>
  <c r="K344" i="1"/>
  <c r="I344" i="1"/>
  <c r="K343" i="1"/>
  <c r="I343" i="1"/>
  <c r="K342" i="1"/>
  <c r="I342" i="1"/>
  <c r="K341" i="1"/>
  <c r="I341" i="1"/>
  <c r="K340" i="1"/>
  <c r="I340" i="1"/>
  <c r="K339" i="1"/>
  <c r="I339" i="1"/>
  <c r="K338" i="1"/>
  <c r="I338" i="1"/>
  <c r="K337" i="1"/>
  <c r="I337" i="1"/>
  <c r="K336" i="1"/>
  <c r="I336" i="1"/>
  <c r="K335" i="1"/>
  <c r="I335" i="1"/>
  <c r="K334" i="1"/>
  <c r="I334" i="1"/>
  <c r="K333" i="1"/>
  <c r="I333" i="1"/>
  <c r="K332" i="1"/>
  <c r="I332" i="1"/>
  <c r="K331" i="1"/>
  <c r="I331" i="1"/>
  <c r="K330" i="1"/>
  <c r="I330" i="1"/>
  <c r="K329" i="1"/>
  <c r="I329" i="1"/>
  <c r="K328" i="1"/>
  <c r="I328" i="1"/>
  <c r="K327" i="1"/>
  <c r="I327" i="1"/>
  <c r="K326" i="1"/>
  <c r="I326" i="1"/>
  <c r="K325" i="1"/>
  <c r="I325" i="1"/>
  <c r="K324" i="1"/>
  <c r="I324" i="1"/>
  <c r="K323" i="1"/>
  <c r="I323" i="1"/>
  <c r="K322" i="1"/>
  <c r="I322" i="1"/>
  <c r="K321" i="1"/>
  <c r="I321" i="1"/>
  <c r="K320" i="1"/>
  <c r="I320" i="1"/>
  <c r="K319" i="1"/>
  <c r="I319" i="1"/>
  <c r="K318" i="1"/>
  <c r="I318" i="1"/>
  <c r="K317" i="1"/>
  <c r="I317" i="1"/>
  <c r="K316" i="1"/>
  <c r="I316" i="1"/>
  <c r="K315" i="1"/>
  <c r="I315" i="1"/>
  <c r="K314" i="1"/>
  <c r="I314" i="1"/>
  <c r="K313" i="1"/>
  <c r="I313" i="1"/>
  <c r="K312" i="1"/>
  <c r="I312" i="1"/>
  <c r="K311" i="1"/>
  <c r="I311" i="1"/>
  <c r="K310" i="1"/>
  <c r="I310" i="1"/>
  <c r="K309" i="1"/>
  <c r="I309" i="1"/>
  <c r="K308" i="1"/>
  <c r="I308" i="1"/>
  <c r="K307" i="1"/>
  <c r="I307" i="1"/>
  <c r="K306" i="1"/>
  <c r="I306" i="1"/>
  <c r="K305" i="1"/>
  <c r="I305" i="1"/>
  <c r="K304" i="1"/>
  <c r="I304" i="1"/>
  <c r="K303" i="1"/>
  <c r="I303" i="1"/>
  <c r="K302" i="1"/>
  <c r="I302" i="1"/>
  <c r="K301" i="1"/>
  <c r="I301" i="1"/>
  <c r="K300" i="1"/>
  <c r="I300" i="1"/>
  <c r="K299" i="1"/>
  <c r="I299" i="1"/>
  <c r="K298" i="1"/>
  <c r="I298" i="1"/>
  <c r="K297" i="1"/>
  <c r="I297" i="1"/>
  <c r="K296" i="1"/>
  <c r="I296" i="1"/>
  <c r="K295" i="1"/>
  <c r="I295" i="1"/>
  <c r="K294" i="1"/>
  <c r="I294" i="1"/>
  <c r="K293" i="1"/>
  <c r="I293" i="1"/>
  <c r="K292" i="1"/>
  <c r="I292" i="1"/>
  <c r="K291" i="1"/>
  <c r="I291" i="1"/>
  <c r="K290" i="1"/>
  <c r="I290" i="1"/>
  <c r="K289" i="1"/>
  <c r="I289" i="1"/>
  <c r="K288" i="1"/>
  <c r="I288" i="1"/>
  <c r="K287" i="1"/>
  <c r="I287" i="1"/>
  <c r="K286" i="1"/>
  <c r="I286" i="1"/>
  <c r="K285" i="1"/>
  <c r="I285" i="1"/>
  <c r="K284" i="1"/>
  <c r="I284" i="1"/>
  <c r="K283" i="1"/>
  <c r="I283" i="1"/>
  <c r="K282" i="1"/>
  <c r="I282" i="1"/>
  <c r="K281" i="1"/>
  <c r="I281" i="1"/>
  <c r="K280" i="1"/>
  <c r="I280" i="1"/>
  <c r="K279" i="1"/>
  <c r="I279" i="1"/>
  <c r="K278" i="1"/>
  <c r="I278" i="1"/>
  <c r="K277" i="1"/>
  <c r="I277" i="1"/>
  <c r="K276" i="1"/>
  <c r="I276" i="1"/>
  <c r="K275" i="1"/>
  <c r="I275" i="1"/>
  <c r="K274" i="1"/>
  <c r="I274" i="1"/>
  <c r="K273" i="1"/>
  <c r="I273" i="1"/>
  <c r="K272" i="1"/>
  <c r="I272" i="1"/>
  <c r="K271" i="1"/>
  <c r="I271" i="1"/>
  <c r="K270" i="1"/>
  <c r="I270" i="1"/>
  <c r="K269" i="1"/>
  <c r="I269" i="1"/>
  <c r="K268" i="1"/>
  <c r="I268" i="1"/>
  <c r="K267" i="1"/>
  <c r="I267" i="1"/>
  <c r="K266" i="1"/>
  <c r="I266" i="1"/>
  <c r="K265" i="1"/>
  <c r="I265" i="1"/>
  <c r="K264" i="1"/>
  <c r="I264" i="1"/>
  <c r="K263" i="1"/>
  <c r="I263" i="1"/>
  <c r="K262" i="1"/>
  <c r="I262" i="1"/>
  <c r="K261" i="1"/>
  <c r="I261" i="1"/>
  <c r="K260" i="1"/>
  <c r="I260" i="1"/>
  <c r="K259" i="1"/>
  <c r="I259" i="1"/>
  <c r="K258" i="1"/>
  <c r="I258" i="1"/>
  <c r="K257" i="1"/>
  <c r="I257" i="1"/>
  <c r="K256" i="1"/>
  <c r="I256" i="1"/>
  <c r="K255" i="1"/>
  <c r="I255" i="1"/>
  <c r="K254" i="1"/>
  <c r="I254" i="1"/>
  <c r="K253" i="1"/>
  <c r="I253" i="1"/>
  <c r="K252" i="1"/>
  <c r="I252" i="1"/>
  <c r="K251" i="1"/>
  <c r="I251" i="1"/>
  <c r="K250" i="1"/>
  <c r="I250" i="1"/>
  <c r="K249" i="1"/>
  <c r="I249" i="1"/>
  <c r="K248" i="1"/>
  <c r="I248" i="1"/>
  <c r="K247" i="1"/>
  <c r="I247" i="1"/>
  <c r="K246" i="1"/>
  <c r="I246" i="1"/>
  <c r="K245" i="1"/>
  <c r="I245" i="1"/>
  <c r="K244" i="1"/>
  <c r="I244" i="1"/>
  <c r="K243" i="1"/>
  <c r="I243" i="1"/>
  <c r="K242" i="1"/>
  <c r="I242" i="1"/>
  <c r="K241" i="1"/>
  <c r="I241" i="1"/>
  <c r="K240" i="1"/>
  <c r="I240" i="1"/>
  <c r="K239" i="1"/>
  <c r="I239" i="1"/>
  <c r="K238" i="1"/>
  <c r="I238" i="1"/>
  <c r="K237" i="1"/>
  <c r="I237" i="1"/>
  <c r="K236" i="1"/>
  <c r="I236" i="1"/>
  <c r="K235" i="1"/>
  <c r="I235" i="1"/>
  <c r="K234" i="1"/>
  <c r="I234" i="1"/>
  <c r="K233" i="1"/>
  <c r="I233" i="1"/>
  <c r="K232" i="1"/>
  <c r="I232" i="1"/>
  <c r="K231" i="1"/>
  <c r="I231" i="1"/>
  <c r="K230" i="1"/>
  <c r="I230" i="1"/>
  <c r="K229" i="1"/>
  <c r="I229" i="1"/>
  <c r="K228" i="1"/>
  <c r="I228" i="1"/>
  <c r="K227" i="1"/>
  <c r="I227" i="1"/>
  <c r="K226" i="1"/>
  <c r="I226" i="1"/>
  <c r="K225" i="1"/>
  <c r="I225" i="1"/>
  <c r="K224" i="1"/>
  <c r="I224" i="1"/>
  <c r="K223" i="1"/>
  <c r="I223" i="1"/>
  <c r="K222" i="1"/>
  <c r="I222" i="1"/>
  <c r="K221" i="1"/>
  <c r="I221" i="1"/>
  <c r="K220" i="1"/>
  <c r="I220" i="1"/>
  <c r="K219" i="1"/>
  <c r="I219" i="1"/>
  <c r="K218" i="1"/>
  <c r="I218" i="1"/>
  <c r="K217" i="1"/>
  <c r="I217" i="1"/>
  <c r="K216" i="1"/>
  <c r="I216" i="1"/>
  <c r="K215" i="1"/>
  <c r="I215" i="1"/>
  <c r="K214" i="1"/>
  <c r="I214" i="1"/>
  <c r="K213" i="1"/>
  <c r="I213" i="1"/>
  <c r="K212" i="1"/>
  <c r="I212" i="1"/>
  <c r="K211" i="1"/>
  <c r="I211" i="1"/>
  <c r="K210" i="1"/>
  <c r="I210" i="1"/>
  <c r="K209" i="1"/>
  <c r="I209" i="1"/>
  <c r="K208" i="1"/>
  <c r="I208" i="1"/>
  <c r="K207" i="1"/>
  <c r="I207" i="1"/>
  <c r="K206" i="1"/>
  <c r="I206" i="1"/>
  <c r="K205" i="1"/>
  <c r="I205" i="1"/>
  <c r="K204" i="1"/>
  <c r="I204" i="1"/>
  <c r="K203" i="1"/>
  <c r="I203" i="1"/>
  <c r="K202" i="1"/>
  <c r="I202" i="1"/>
  <c r="K201" i="1"/>
  <c r="I201" i="1"/>
  <c r="K200" i="1"/>
  <c r="I200" i="1"/>
  <c r="K199" i="1"/>
  <c r="I199" i="1"/>
  <c r="K198" i="1"/>
  <c r="I198" i="1"/>
  <c r="K197" i="1"/>
  <c r="I197" i="1"/>
  <c r="K196" i="1"/>
  <c r="I196" i="1"/>
  <c r="K195" i="1"/>
  <c r="I195" i="1"/>
  <c r="K194" i="1"/>
  <c r="I194" i="1"/>
  <c r="K193" i="1"/>
  <c r="I193" i="1"/>
  <c r="K192" i="1"/>
  <c r="I192" i="1"/>
  <c r="K191" i="1"/>
  <c r="I191" i="1"/>
  <c r="K190" i="1"/>
  <c r="I190" i="1"/>
  <c r="K189" i="1"/>
  <c r="I189" i="1"/>
  <c r="K188" i="1"/>
  <c r="I188" i="1"/>
  <c r="K187" i="1"/>
  <c r="I187" i="1"/>
  <c r="K186" i="1"/>
  <c r="I186" i="1"/>
  <c r="K185" i="1"/>
  <c r="I185" i="1"/>
  <c r="K184" i="1"/>
  <c r="I184" i="1"/>
  <c r="K183" i="1"/>
  <c r="I183" i="1"/>
  <c r="K182" i="1"/>
  <c r="I182" i="1"/>
  <c r="K181" i="1"/>
  <c r="I181" i="1"/>
  <c r="K180" i="1"/>
  <c r="I180" i="1"/>
  <c r="K179" i="1"/>
  <c r="I179" i="1"/>
  <c r="K178" i="1"/>
  <c r="I178" i="1"/>
  <c r="K177" i="1"/>
  <c r="I177" i="1"/>
  <c r="K176" i="1"/>
  <c r="I176" i="1"/>
  <c r="K175" i="1"/>
  <c r="I175" i="1"/>
  <c r="K174" i="1"/>
  <c r="I174" i="1"/>
  <c r="K173" i="1"/>
  <c r="I173" i="1"/>
  <c r="K172" i="1"/>
  <c r="I172" i="1"/>
  <c r="K171" i="1"/>
  <c r="I171" i="1"/>
  <c r="K170" i="1"/>
  <c r="I170" i="1"/>
  <c r="K169" i="1"/>
  <c r="I169" i="1"/>
  <c r="K168" i="1"/>
  <c r="I168" i="1"/>
  <c r="K167" i="1"/>
  <c r="I167" i="1"/>
  <c r="K166" i="1"/>
  <c r="I166" i="1"/>
  <c r="K165" i="1"/>
  <c r="I165" i="1"/>
  <c r="K164" i="1"/>
  <c r="I164" i="1"/>
  <c r="K163" i="1"/>
  <c r="I163" i="1"/>
  <c r="K162" i="1"/>
  <c r="I162" i="1"/>
  <c r="K161" i="1"/>
  <c r="I161" i="1"/>
  <c r="K160" i="1"/>
  <c r="I160" i="1"/>
  <c r="K159" i="1"/>
  <c r="I159" i="1"/>
  <c r="K158" i="1"/>
  <c r="I158" i="1"/>
  <c r="K157" i="1"/>
  <c r="I157" i="1"/>
  <c r="K156" i="1"/>
  <c r="I156" i="1"/>
  <c r="K155" i="1"/>
  <c r="I155" i="1"/>
  <c r="K154" i="1"/>
  <c r="I154" i="1"/>
  <c r="K153" i="1"/>
  <c r="I153" i="1"/>
  <c r="K152" i="1"/>
  <c r="I152" i="1"/>
  <c r="K151" i="1"/>
  <c r="I151" i="1"/>
  <c r="K150" i="1"/>
  <c r="I150" i="1"/>
  <c r="K149" i="1"/>
  <c r="I149" i="1"/>
  <c r="K148" i="1"/>
  <c r="I148" i="1"/>
  <c r="K147" i="1"/>
  <c r="I147" i="1"/>
  <c r="K146" i="1"/>
  <c r="I146" i="1"/>
  <c r="K145" i="1"/>
  <c r="I145" i="1"/>
  <c r="K144" i="1"/>
  <c r="I144" i="1"/>
  <c r="K143" i="1"/>
  <c r="I143" i="1"/>
  <c r="K142" i="1"/>
  <c r="I142" i="1"/>
  <c r="K141" i="1"/>
  <c r="I141" i="1"/>
  <c r="K140" i="1"/>
  <c r="I140" i="1"/>
  <c r="K139" i="1"/>
  <c r="I139" i="1"/>
  <c r="K138" i="1"/>
  <c r="I138" i="1"/>
  <c r="K137" i="1"/>
  <c r="I137" i="1"/>
  <c r="K136" i="1"/>
  <c r="I136" i="1"/>
  <c r="K135" i="1"/>
  <c r="I135" i="1"/>
  <c r="K134" i="1"/>
  <c r="I134" i="1"/>
  <c r="K133" i="1"/>
  <c r="I133" i="1"/>
  <c r="K132" i="1"/>
  <c r="I132" i="1"/>
  <c r="K131" i="1"/>
  <c r="I131" i="1"/>
  <c r="K130" i="1"/>
  <c r="I130" i="1"/>
  <c r="K129" i="1"/>
  <c r="I129" i="1"/>
  <c r="K128" i="1"/>
  <c r="I128" i="1"/>
  <c r="K127" i="1"/>
  <c r="I127" i="1"/>
  <c r="K126" i="1"/>
  <c r="I126" i="1"/>
  <c r="K125" i="1"/>
  <c r="I125" i="1"/>
  <c r="K124" i="1"/>
  <c r="I124" i="1"/>
  <c r="K123" i="1"/>
  <c r="I123" i="1"/>
  <c r="K122" i="1"/>
  <c r="I122" i="1"/>
  <c r="K121" i="1"/>
  <c r="I121" i="1"/>
  <c r="K120" i="1"/>
  <c r="I120" i="1"/>
  <c r="K119" i="1"/>
  <c r="I119" i="1"/>
  <c r="K118" i="1"/>
  <c r="I118" i="1"/>
  <c r="K117" i="1"/>
  <c r="I117" i="1"/>
  <c r="K116" i="1"/>
  <c r="I116" i="1"/>
  <c r="K115" i="1"/>
  <c r="I115" i="1"/>
  <c r="K114" i="1"/>
  <c r="I114" i="1"/>
  <c r="K113" i="1"/>
  <c r="I113" i="1"/>
  <c r="K112" i="1"/>
  <c r="I112" i="1"/>
  <c r="K111" i="1"/>
  <c r="I111" i="1"/>
  <c r="K110" i="1"/>
  <c r="I110" i="1"/>
  <c r="K109" i="1"/>
  <c r="I109" i="1"/>
  <c r="K108" i="1"/>
  <c r="I108" i="1"/>
  <c r="K107" i="1"/>
  <c r="I107" i="1"/>
  <c r="K106" i="1"/>
  <c r="I106" i="1"/>
  <c r="K105" i="1"/>
  <c r="I105" i="1"/>
  <c r="K104" i="1"/>
  <c r="I104" i="1"/>
  <c r="K103" i="1"/>
  <c r="I103" i="1"/>
  <c r="K102" i="1"/>
  <c r="I102" i="1"/>
  <c r="K101" i="1"/>
  <c r="I101" i="1"/>
  <c r="K100" i="1"/>
  <c r="I100" i="1"/>
  <c r="K99" i="1"/>
  <c r="I99" i="1"/>
  <c r="K98" i="1"/>
  <c r="I98" i="1"/>
  <c r="K97" i="1"/>
  <c r="I97" i="1"/>
  <c r="K96" i="1"/>
  <c r="I96" i="1"/>
  <c r="K95" i="1"/>
  <c r="I95" i="1"/>
  <c r="K94" i="1"/>
  <c r="I94" i="1"/>
  <c r="K93" i="1"/>
  <c r="I93" i="1"/>
  <c r="K92" i="1"/>
  <c r="I92" i="1"/>
  <c r="K91" i="1"/>
  <c r="I91" i="1"/>
  <c r="K90" i="1"/>
  <c r="I90" i="1"/>
  <c r="K89" i="1"/>
  <c r="I89" i="1"/>
  <c r="K88" i="1"/>
  <c r="I88" i="1"/>
  <c r="K87" i="1"/>
  <c r="I87" i="1"/>
  <c r="K86" i="1"/>
  <c r="I86" i="1"/>
  <c r="K85" i="1"/>
  <c r="I85" i="1"/>
  <c r="K84" i="1"/>
  <c r="I84" i="1"/>
  <c r="K83" i="1"/>
  <c r="I83" i="1"/>
  <c r="K82" i="1"/>
  <c r="I82" i="1"/>
  <c r="K81" i="1"/>
  <c r="I81" i="1"/>
  <c r="K80" i="1"/>
  <c r="I80" i="1"/>
  <c r="K79" i="1"/>
  <c r="I79" i="1"/>
  <c r="K78" i="1"/>
  <c r="I78" i="1"/>
  <c r="K77" i="1"/>
  <c r="I77" i="1"/>
  <c r="K76" i="1"/>
  <c r="I76" i="1"/>
  <c r="K75" i="1"/>
  <c r="I75" i="1"/>
  <c r="K74" i="1"/>
  <c r="I74" i="1"/>
  <c r="K73" i="1"/>
  <c r="I73" i="1"/>
  <c r="K72" i="1"/>
  <c r="I72" i="1"/>
  <c r="K71" i="1"/>
  <c r="I71" i="1"/>
  <c r="K70" i="1"/>
  <c r="I70" i="1"/>
  <c r="K69" i="1"/>
  <c r="I69" i="1"/>
  <c r="K68" i="1"/>
  <c r="I68" i="1"/>
  <c r="K67" i="1"/>
  <c r="I67" i="1"/>
  <c r="K66" i="1"/>
  <c r="I66" i="1"/>
  <c r="K65" i="1"/>
  <c r="I65" i="1"/>
  <c r="K64" i="1"/>
  <c r="I64" i="1"/>
  <c r="K63" i="1"/>
  <c r="I63" i="1"/>
  <c r="K62" i="1"/>
  <c r="I62" i="1"/>
  <c r="K61" i="1"/>
  <c r="I61" i="1"/>
  <c r="K60" i="1"/>
  <c r="I60" i="1"/>
  <c r="K59" i="1"/>
  <c r="I59" i="1"/>
  <c r="K58" i="1"/>
  <c r="I58" i="1"/>
  <c r="K57" i="1"/>
  <c r="I57" i="1"/>
  <c r="K56" i="1"/>
  <c r="I56" i="1"/>
  <c r="K55" i="1"/>
  <c r="I55" i="1"/>
  <c r="K54" i="1"/>
  <c r="I54" i="1"/>
  <c r="K53" i="1"/>
  <c r="I53" i="1"/>
  <c r="K52" i="1"/>
  <c r="I52" i="1"/>
  <c r="K51" i="1"/>
  <c r="I51" i="1"/>
  <c r="K50" i="1"/>
  <c r="I50" i="1"/>
  <c r="K49" i="1"/>
  <c r="I49" i="1"/>
  <c r="K48" i="1"/>
  <c r="I48" i="1"/>
  <c r="K47" i="1"/>
  <c r="I47" i="1"/>
  <c r="K46" i="1"/>
  <c r="I46" i="1"/>
  <c r="K45" i="1"/>
  <c r="I45" i="1"/>
  <c r="K44" i="1"/>
  <c r="I44" i="1"/>
  <c r="K43" i="1"/>
  <c r="I43" i="1"/>
  <c r="K42" i="1"/>
  <c r="I42" i="1"/>
  <c r="K41" i="1"/>
  <c r="I41" i="1"/>
  <c r="K40" i="1"/>
  <c r="I40" i="1"/>
  <c r="K39" i="1"/>
  <c r="I39" i="1"/>
  <c r="K38" i="1"/>
  <c r="I38" i="1"/>
  <c r="K37" i="1"/>
  <c r="I37" i="1"/>
  <c r="K36" i="1"/>
  <c r="I36" i="1"/>
  <c r="K35" i="1"/>
  <c r="I35" i="1"/>
  <c r="K34" i="1"/>
  <c r="I34" i="1"/>
  <c r="K33" i="1"/>
  <c r="I33" i="1"/>
  <c r="K32" i="1"/>
  <c r="I32" i="1"/>
  <c r="K31" i="1"/>
  <c r="I31" i="1"/>
  <c r="K30" i="1"/>
  <c r="I30" i="1"/>
  <c r="K29" i="1"/>
  <c r="I29" i="1"/>
  <c r="K28" i="1"/>
  <c r="I28" i="1"/>
  <c r="K27" i="1"/>
  <c r="I27" i="1"/>
  <c r="K26" i="1"/>
  <c r="I26" i="1"/>
  <c r="K25" i="1"/>
  <c r="I25" i="1"/>
  <c r="K24" i="1"/>
  <c r="I24" i="1"/>
  <c r="K23" i="1"/>
  <c r="I23" i="1"/>
  <c r="K22" i="1"/>
  <c r="I22" i="1"/>
  <c r="K21" i="1"/>
  <c r="I21" i="1"/>
  <c r="K20" i="1"/>
  <c r="I20" i="1"/>
  <c r="K19" i="1"/>
  <c r="I19" i="1"/>
  <c r="K18" i="1"/>
  <c r="I18" i="1"/>
  <c r="K17" i="1"/>
  <c r="I17" i="1"/>
  <c r="K16" i="1"/>
  <c r="I16" i="1"/>
  <c r="K15" i="1"/>
  <c r="I15" i="1"/>
  <c r="K14" i="1"/>
  <c r="I14" i="1"/>
  <c r="K13" i="1"/>
  <c r="I13" i="1"/>
  <c r="K12" i="1"/>
  <c r="I12" i="1"/>
  <c r="K11" i="1"/>
  <c r="I11" i="1"/>
  <c r="K10" i="1"/>
  <c r="I10" i="1"/>
  <c r="K9" i="1"/>
  <c r="I9" i="1"/>
  <c r="K8" i="1"/>
  <c r="I8" i="1"/>
  <c r="K7" i="1"/>
  <c r="I7" i="1"/>
  <c r="K6" i="1"/>
  <c r="I6" i="1"/>
  <c r="K5" i="1"/>
  <c r="I5" i="1"/>
  <c r="K4" i="1"/>
  <c r="I4" i="1"/>
  <c r="K3" i="1"/>
  <c r="I3" i="1"/>
  <c r="K2" i="1"/>
  <c r="I2" i="1"/>
</calcChain>
</file>

<file path=xl/sharedStrings.xml><?xml version="1.0" encoding="utf-8"?>
<sst xmlns="http://schemas.openxmlformats.org/spreadsheetml/2006/main" count="5265" uniqueCount="1820">
  <si>
    <t>KKS</t>
  </si>
  <si>
    <t>DESCRIZIONE</t>
  </si>
  <si>
    <t>COLONNA</t>
  </si>
  <si>
    <t>POSIZIONE</t>
  </si>
  <si>
    <t>30SAD10GH001 - Q. HVAC. Caldaia</t>
  </si>
  <si>
    <t>Q8</t>
  </si>
  <si>
    <t/>
  </si>
  <si>
    <t>30SAE20GH001 - Q. HVAC. Filtro Bicar</t>
  </si>
  <si>
    <t>MCC5B</t>
  </si>
  <si>
    <t>Alim. Ventilaz. Quadro Inver. ID FAN</t>
  </si>
  <si>
    <t>7/A</t>
  </si>
  <si>
    <t>MCC3</t>
  </si>
  <si>
    <t>Aliment. Sezione 2 - MCC03 Caldaia</t>
  </si>
  <si>
    <t>2/I</t>
  </si>
  <si>
    <t>Aliment. Sezione 3 - MCC03 Caldaia</t>
  </si>
  <si>
    <t>2/L</t>
  </si>
  <si>
    <t>MCC1</t>
  </si>
  <si>
    <t>ausiliari arrivo linea</t>
  </si>
  <si>
    <t>1E</t>
  </si>
  <si>
    <t>impianto demineralizzaziobne  (osmosi + EDI)</t>
  </si>
  <si>
    <t>1B</t>
  </si>
  <si>
    <t>QLOC DIESEL GENERATORE</t>
  </si>
  <si>
    <t>2D</t>
  </si>
  <si>
    <t>Qloc. Produzione Demi</t>
  </si>
  <si>
    <t>1/B</t>
  </si>
  <si>
    <t>quadro locale gestione portoni e semafori</t>
  </si>
  <si>
    <t>2B</t>
  </si>
  <si>
    <t>quadro portella calo benna 1</t>
  </si>
  <si>
    <t>3B</t>
  </si>
  <si>
    <t>quadro portella calo benna 2</t>
  </si>
  <si>
    <t>3C</t>
  </si>
  <si>
    <t>scaldiglie ausiliari</t>
  </si>
  <si>
    <t>1D</t>
  </si>
  <si>
    <t>Sistema Rompiponte Tramoggia Forno</t>
  </si>
  <si>
    <t>2/C</t>
  </si>
  <si>
    <t>sistema rompi-ponte tramoggia forno</t>
  </si>
  <si>
    <t>2C</t>
  </si>
  <si>
    <t>30</t>
  </si>
  <si>
    <t>MCC2</t>
  </si>
  <si>
    <t xml:space="preserve">ARRIVA LINEA </t>
  </si>
  <si>
    <t>1F</t>
  </si>
  <si>
    <t>AUSILIARI ARRIVO LINEA</t>
  </si>
  <si>
    <t>SCALDIGLIE AUSILIARIE</t>
  </si>
  <si>
    <t>L2</t>
  </si>
  <si>
    <t>30BAA10GS001</t>
  </si>
  <si>
    <t>BRR</t>
  </si>
  <si>
    <t>10</t>
  </si>
  <si>
    <t>GS</t>
  </si>
  <si>
    <t>001</t>
  </si>
  <si>
    <t>QPC1</t>
  </si>
  <si>
    <t>ALIMENTAZIONE QUADRO 110 DC SEZIONE 2</t>
  </si>
  <si>
    <t>10104.H3.100</t>
  </si>
  <si>
    <t>9.3</t>
  </si>
  <si>
    <t>A2</t>
  </si>
  <si>
    <t>30BFA30GS001</t>
  </si>
  <si>
    <t>BFA</t>
  </si>
  <si>
    <t>ALIMENTATORE QUADRO HVAC</t>
  </si>
  <si>
    <t>1.3</t>
  </si>
  <si>
    <t>30BFB10GS001</t>
  </si>
  <si>
    <t>BFB</t>
  </si>
  <si>
    <t>ALIMENTAZIONE DA GENERATORE DIESEL GDE</t>
  </si>
  <si>
    <t>6.4</t>
  </si>
  <si>
    <t>A3</t>
  </si>
  <si>
    <t>30BFB20GS001</t>
  </si>
  <si>
    <t>20</t>
  </si>
  <si>
    <t>QPC2</t>
  </si>
  <si>
    <t>8.2</t>
  </si>
  <si>
    <t>F3</t>
  </si>
  <si>
    <t>30BFB30GS001</t>
  </si>
  <si>
    <t>ALIMENTAZIONE QUADRO LV 400-230 VAC PRIVILEGIATE</t>
  </si>
  <si>
    <t>H2</t>
  </si>
  <si>
    <t>ALIMENTAZIONE QUADRO LV 400-230 VAC TRAFO</t>
  </si>
  <si>
    <t>3.1</t>
  </si>
  <si>
    <t>E2</t>
  </si>
  <si>
    <t xml:space="preserve">Int. Luce  </t>
  </si>
  <si>
    <t>Q6</t>
  </si>
  <si>
    <t>F2</t>
  </si>
  <si>
    <t>Q. Luce / FM</t>
  </si>
  <si>
    <t>E3</t>
  </si>
  <si>
    <t>30BFT10GT010</t>
  </si>
  <si>
    <t>BFT</t>
  </si>
  <si>
    <t>GT</t>
  </si>
  <si>
    <t>010</t>
  </si>
  <si>
    <t>ARRIVO LINEA TRASFORMATORE TR A1</t>
  </si>
  <si>
    <t>5.2</t>
  </si>
  <si>
    <t>30BFT10GT020</t>
  </si>
  <si>
    <t>020</t>
  </si>
  <si>
    <t>ARRIVO LINEA TRASFORMATORE TR E1</t>
  </si>
  <si>
    <t>6.2</t>
  </si>
  <si>
    <t>A1</t>
  </si>
  <si>
    <t>30BFT20GT010</t>
  </si>
  <si>
    <t>ARRIVO LINEA TRASFORMATORE TR A2</t>
  </si>
  <si>
    <t>7.2</t>
  </si>
  <si>
    <t>B3</t>
  </si>
  <si>
    <t>30BFT20GT020</t>
  </si>
  <si>
    <t>ARRIVO LINEA TRASFORMATORE TR E2</t>
  </si>
  <si>
    <t>7.4</t>
  </si>
  <si>
    <t>C3</t>
  </si>
  <si>
    <t>30BFX10GS001</t>
  </si>
  <si>
    <t>BFX</t>
  </si>
  <si>
    <t>ALIMENTAZIONE QUADRO RIFASAMENTO A1</t>
  </si>
  <si>
    <t>3.2</t>
  </si>
  <si>
    <t>D1</t>
  </si>
  <si>
    <t>Q. Rifasamento A1</t>
  </si>
  <si>
    <t>Q7</t>
  </si>
  <si>
    <t>E1</t>
  </si>
  <si>
    <t>30BFX20GS001</t>
  </si>
  <si>
    <t>ALIMENTAZIONE QUADRO RIFASAMENTO E1</t>
  </si>
  <si>
    <t>9.2</t>
  </si>
  <si>
    <t>B2</t>
  </si>
  <si>
    <t>Q. Rifasamento E1</t>
  </si>
  <si>
    <t>Q28</t>
  </si>
  <si>
    <t>C2</t>
  </si>
  <si>
    <t>30BFX30GS001</t>
  </si>
  <si>
    <t>ALIMENTAZIONE QUADRO RIFASAMENTO A2</t>
  </si>
  <si>
    <t>10.2</t>
  </si>
  <si>
    <t>B1</t>
  </si>
  <si>
    <t>Q. Rifasamento A2</t>
  </si>
  <si>
    <t>Q36</t>
  </si>
  <si>
    <t>30BFX40GS001</t>
  </si>
  <si>
    <t>40</t>
  </si>
  <si>
    <t>ALIMENTAZIONE QUADRO RIFASAMENTO E2</t>
  </si>
  <si>
    <t>4.2</t>
  </si>
  <si>
    <t>D2</t>
  </si>
  <si>
    <t>Q. Rifasamento E2</t>
  </si>
  <si>
    <t>Q11</t>
  </si>
  <si>
    <t>30BJB30GS001</t>
  </si>
  <si>
    <t>MCC01 - Avanfossa</t>
  </si>
  <si>
    <t>Q5</t>
  </si>
  <si>
    <t>F1</t>
  </si>
  <si>
    <t>BJB</t>
  </si>
  <si>
    <t>MCC01 AVANFOSSA</t>
  </si>
  <si>
    <t>2.2</t>
  </si>
  <si>
    <t>30BJD10GS001</t>
  </si>
  <si>
    <t>BJD</t>
  </si>
  <si>
    <t>ALIMENTAZIONE MCC03 CALDAIA</t>
  </si>
  <si>
    <t>MCC03 - Caldaia</t>
  </si>
  <si>
    <t>Q23</t>
  </si>
  <si>
    <t>C1</t>
  </si>
  <si>
    <t>30BJE10GS001</t>
  </si>
  <si>
    <t>BJE</t>
  </si>
  <si>
    <t>ALIMENTAZIONE MCC05 A LINEA FUMI</t>
  </si>
  <si>
    <t>12.1</t>
  </si>
  <si>
    <t>MCC05A - Fumi</t>
  </si>
  <si>
    <t>Q34</t>
  </si>
  <si>
    <t>30BJE20GS001</t>
  </si>
  <si>
    <t>ALIMENTAZIONE MCC05 B LINEA FUMI</t>
  </si>
  <si>
    <t>11.1</t>
  </si>
  <si>
    <t>MCC05B - Fumi</t>
  </si>
  <si>
    <t>Q33</t>
  </si>
  <si>
    <t>30BJF10GS001</t>
  </si>
  <si>
    <t>BJF</t>
  </si>
  <si>
    <t>ALIMENTAZIONE MCC02 COMBUSTIONE</t>
  </si>
  <si>
    <t>1.2</t>
  </si>
  <si>
    <t>MCC02 - Combustione</t>
  </si>
  <si>
    <t>30BJF20GS001</t>
  </si>
  <si>
    <t>ALIMENTAZIONE MCC04 GENERATORE E TURBINA</t>
  </si>
  <si>
    <t>9.1</t>
  </si>
  <si>
    <t>MCC04 - Gen. Turbina</t>
  </si>
  <si>
    <t>Q24</t>
  </si>
  <si>
    <t>30BJJ10GS001</t>
  </si>
  <si>
    <t>BJJ</t>
  </si>
  <si>
    <t>ALIMENTAZIONE MCC06 TORRE</t>
  </si>
  <si>
    <t>MCC06 - Torri</t>
  </si>
  <si>
    <t>30BRR10GS001</t>
  </si>
  <si>
    <t>ALIMENTAZIONE QUADRO 110 DC SEZIONE 1</t>
  </si>
  <si>
    <t>6.3</t>
  </si>
  <si>
    <t>Q. UPS 110 V. Sez. 1</t>
  </si>
  <si>
    <t>Q14</t>
  </si>
  <si>
    <t>Q. UPS 110 V. Sez. 2</t>
  </si>
  <si>
    <t>Q27</t>
  </si>
  <si>
    <t>30BRS10GS001</t>
  </si>
  <si>
    <t>BRS</t>
  </si>
  <si>
    <t>ALIMENTAZIONE QUADRO LV 400-230 VAC UPS BY -PASS</t>
  </si>
  <si>
    <t>3.3</t>
  </si>
  <si>
    <t>ALIMENTAZIONE QUADRO LV 400-230 VAC UPS SEZIONE 1</t>
  </si>
  <si>
    <t>7.3</t>
  </si>
  <si>
    <t>ALIMENTAZIONE QUADRO LV 400-230 VAC UPS SEZIONE 2</t>
  </si>
  <si>
    <t>2.3</t>
  </si>
  <si>
    <t>Q. UPS 230 V. Sez. 1</t>
  </si>
  <si>
    <t>Q25</t>
  </si>
  <si>
    <t>Q. UPS 230 V. Sez. 2</t>
  </si>
  <si>
    <t>Q9</t>
  </si>
  <si>
    <t>UPS 230V By Pass</t>
  </si>
  <si>
    <t>Q10</t>
  </si>
  <si>
    <t>30BUY</t>
  </si>
  <si>
    <t>BUY</t>
  </si>
  <si>
    <t>quadro heating system</t>
  </si>
  <si>
    <t>30EAF30GH001</t>
  </si>
  <si>
    <t>EAF</t>
  </si>
  <si>
    <t>GH</t>
  </si>
  <si>
    <t>Qloc. CARROPONTE SCORIE A</t>
  </si>
  <si>
    <t>2H</t>
  </si>
  <si>
    <t>30ECA10GH001</t>
  </si>
  <si>
    <t>ECA1</t>
  </si>
  <si>
    <t>FOSSA RIFIUTI QUADRO CARROPONTE 1</t>
  </si>
  <si>
    <t>2.1</t>
  </si>
  <si>
    <t>Q. Carroponte 1</t>
  </si>
  <si>
    <t>Q2</t>
  </si>
  <si>
    <t>30ECA20GH001</t>
  </si>
  <si>
    <t>ECA</t>
  </si>
  <si>
    <t>FOSSA RIFIUTI QUADRO CARROPONTE 2</t>
  </si>
  <si>
    <t>Q. Carroponte 2</t>
  </si>
  <si>
    <t>Q31</t>
  </si>
  <si>
    <t>30ETG10AF010</t>
  </si>
  <si>
    <t>MCC5A</t>
  </si>
  <si>
    <t>Readler Trasporto PCR</t>
  </si>
  <si>
    <t>6/H</t>
  </si>
  <si>
    <t>ETG</t>
  </si>
  <si>
    <t>AF</t>
  </si>
  <si>
    <t>REDLER TRASVERSALE TRASPORTO PCR</t>
  </si>
  <si>
    <t>10104.B3.206</t>
  </si>
  <si>
    <t>6H</t>
  </si>
  <si>
    <t>30ETG10AF011</t>
  </si>
  <si>
    <t>011</t>
  </si>
  <si>
    <t>ELEVATORE A TAZZE A SILO PCR</t>
  </si>
  <si>
    <t>7A</t>
  </si>
  <si>
    <t xml:space="preserve">Elevatore a Tazze PCR   </t>
  </si>
  <si>
    <t>30ETG10AF012</t>
  </si>
  <si>
    <t>012</t>
  </si>
  <si>
    <t>COCLEA CARICO SILO RICIRCOLO PCR + CENERI</t>
  </si>
  <si>
    <t>3F</t>
  </si>
  <si>
    <t>Coclea Trasfer. Silos PCR</t>
  </si>
  <si>
    <t>3/F</t>
  </si>
  <si>
    <t>30ETG20AF001</t>
  </si>
  <si>
    <t>Readler Traspor. 1 PCR Cenere</t>
  </si>
  <si>
    <t>7/E</t>
  </si>
  <si>
    <t>TRASPORTATORE LONGITUDINALE LUNGO PCR + CENERI</t>
  </si>
  <si>
    <t>10104.B3.209</t>
  </si>
  <si>
    <t>7E</t>
  </si>
  <si>
    <t>30ETG20AF002</t>
  </si>
  <si>
    <t>Readler Traspor. 2 PCR Cenere</t>
  </si>
  <si>
    <t>8/G</t>
  </si>
  <si>
    <t>002</t>
  </si>
  <si>
    <t>TRASPORTATORE TRASVERSALE PCR + CENERI AD ELEVATORE A TAZZE</t>
  </si>
  <si>
    <t>8G</t>
  </si>
  <si>
    <t>30ETG20AF003</t>
  </si>
  <si>
    <t>Elevatore a Tazze PCR Cenere</t>
  </si>
  <si>
    <t>8/B</t>
  </si>
  <si>
    <t>30ETG20AF004</t>
  </si>
  <si>
    <t>Coclea a Sili PCR Cenere</t>
  </si>
  <si>
    <t>9/G</t>
  </si>
  <si>
    <t>004</t>
  </si>
  <si>
    <t xml:space="preserve">COCLEA DI CARICO SILI PCR  + CENERI 1 </t>
  </si>
  <si>
    <t>9G</t>
  </si>
  <si>
    <t>30ETG20AF005</t>
  </si>
  <si>
    <t>Coclea 1 Caricamento PCR Cenere</t>
  </si>
  <si>
    <t>10/G</t>
  </si>
  <si>
    <t>005</t>
  </si>
  <si>
    <t xml:space="preserve">COCLEA DI CARICO SILI PCR  + CENERI 2 </t>
  </si>
  <si>
    <t>10G</t>
  </si>
  <si>
    <t>30ETG20AF006</t>
  </si>
  <si>
    <t>Coclea 2 Caricamen. PCR Cenere</t>
  </si>
  <si>
    <t>6/G</t>
  </si>
  <si>
    <t>006</t>
  </si>
  <si>
    <t>COCLEA DI CARICO SILI PCR  + CENERI 3</t>
  </si>
  <si>
    <t>6G</t>
  </si>
  <si>
    <t>30ETG20AF010</t>
  </si>
  <si>
    <t>Coclea Polv. Readler Caldaia</t>
  </si>
  <si>
    <t>7/F</t>
  </si>
  <si>
    <t>COCLEA POLVERI DA REDLER CALDAIA</t>
  </si>
  <si>
    <t>7F</t>
  </si>
  <si>
    <t>30ETH11AF010</t>
  </si>
  <si>
    <t>ETH</t>
  </si>
  <si>
    <t>11</t>
  </si>
  <si>
    <t xml:space="preserve">COCLEA DI SCARICO SILO PCR 1 </t>
  </si>
  <si>
    <t>5E</t>
  </si>
  <si>
    <t>Coclea Estraz. PCR Cenere 1</t>
  </si>
  <si>
    <t>5/E</t>
  </si>
  <si>
    <t>30ETH12AF010</t>
  </si>
  <si>
    <t>12</t>
  </si>
  <si>
    <t xml:space="preserve"> - DISCHARGE RETRACTIL SPOUT</t>
  </si>
  <si>
    <t>30ETH12AN010</t>
  </si>
  <si>
    <t>AN</t>
  </si>
  <si>
    <t xml:space="preserve"> - DUST COLLECTOR FAN FOR UNLOADING OPERATION</t>
  </si>
  <si>
    <t>30ETH12GH010</t>
  </si>
  <si>
    <t>Pann. Loc. Scar. PCR Silos 1</t>
  </si>
  <si>
    <t>3/B</t>
  </si>
  <si>
    <t>PANNELLO DI CONTROLLO LOCALE SCARICO PCR SILO 1</t>
  </si>
  <si>
    <t>30ETH21AF010</t>
  </si>
  <si>
    <t>21</t>
  </si>
  <si>
    <t xml:space="preserve">COCLEA DI SCARICO SILO PCR 2 </t>
  </si>
  <si>
    <t>6D</t>
  </si>
  <si>
    <t>Coclea Estraz. PCR Cenere 2</t>
  </si>
  <si>
    <t>6/D</t>
  </si>
  <si>
    <t>30ETH31AF010</t>
  </si>
  <si>
    <t>31</t>
  </si>
  <si>
    <t>COCLEA DI SCARICO SILO PCR 3</t>
  </si>
  <si>
    <t>7D</t>
  </si>
  <si>
    <t>Coclea Estraz. PCR Cenere 3</t>
  </si>
  <si>
    <t>7/D</t>
  </si>
  <si>
    <t>G1</t>
  </si>
  <si>
    <t>30ETH41AF010</t>
  </si>
  <si>
    <t>Coclea Com. Scarico PCR Cenere 2 e 3</t>
  </si>
  <si>
    <t>8/D</t>
  </si>
  <si>
    <t>41</t>
  </si>
  <si>
    <t>COCLEA COMUNE DI SCARICO PCR SILO 2 E 3</t>
  </si>
  <si>
    <t>8D</t>
  </si>
  <si>
    <t>30ETH42AF010</t>
  </si>
  <si>
    <t>42</t>
  </si>
  <si>
    <t>H1</t>
  </si>
  <si>
    <t>30ETH42AN010</t>
  </si>
  <si>
    <t>D7</t>
  </si>
  <si>
    <t>30ETH42GH010</t>
  </si>
  <si>
    <t>Pann. Loc. Scar. PCR Silos 2 e 3</t>
  </si>
  <si>
    <t>4/A</t>
  </si>
  <si>
    <t>C7</t>
  </si>
  <si>
    <t>PANNELLO DI CONTROLLO LOCALE SCARICO PCR SILO 2 &amp; 3</t>
  </si>
  <si>
    <t>4A</t>
  </si>
  <si>
    <t>30ETK10AF001</t>
  </si>
  <si>
    <t>Readler Trasporto PSR</t>
  </si>
  <si>
    <t>8/F</t>
  </si>
  <si>
    <t>ETK</t>
  </si>
  <si>
    <t>TRASPORTATORE TRASVERSALE PSR DA FF2</t>
  </si>
  <si>
    <t>10104.B3.210</t>
  </si>
  <si>
    <t>8F</t>
  </si>
  <si>
    <t>30ETK10AF003</t>
  </si>
  <si>
    <t>003</t>
  </si>
  <si>
    <t>ELEVATORE A TAZZE A SILO PSR</t>
  </si>
  <si>
    <t>7B</t>
  </si>
  <si>
    <t>Elevatore a Tazze PSR</t>
  </si>
  <si>
    <t>7/B</t>
  </si>
  <si>
    <t>30ETK10AF004</t>
  </si>
  <si>
    <t xml:space="preserve">COCLEA DI CARICO SILO PSR </t>
  </si>
  <si>
    <t>10E</t>
  </si>
  <si>
    <t>E7</t>
  </si>
  <si>
    <t>Coclea Trasfer. Silos PSR</t>
  </si>
  <si>
    <t>10/F</t>
  </si>
  <si>
    <t>30ETK20AF003</t>
  </si>
  <si>
    <t>ELEVATORE A TAZZE A SILI STOCCAGGIO PCR + CENERI</t>
  </si>
  <si>
    <t>8B</t>
  </si>
  <si>
    <t>30ETL11AF010</t>
  </si>
  <si>
    <t>ETL</t>
  </si>
  <si>
    <t xml:space="preserve">COCLEA DI SCARICO SILO PSR 1 </t>
  </si>
  <si>
    <t>4E</t>
  </si>
  <si>
    <t>Coclea Estrazione PSR</t>
  </si>
  <si>
    <t>4/E</t>
  </si>
  <si>
    <t>30ETL11AF011</t>
  </si>
  <si>
    <t>COCLEA DI SCARICO SILO PSR 2</t>
  </si>
  <si>
    <t>2E</t>
  </si>
  <si>
    <t>2/E</t>
  </si>
  <si>
    <t>30ETL12AF010</t>
  </si>
  <si>
    <t>30ETL12AN010</t>
  </si>
  <si>
    <t>30ETL12GH010</t>
  </si>
  <si>
    <t>PANNELLO DI CONTROLLO LOCALE SCARICO SILO PSR</t>
  </si>
  <si>
    <t>3A</t>
  </si>
  <si>
    <t>Scaricatore Tel. Silos PSR</t>
  </si>
  <si>
    <t>3/A</t>
  </si>
  <si>
    <t>30GAA01AP010</t>
  </si>
  <si>
    <t>MCC6</t>
  </si>
  <si>
    <t>Pompa Emungimento 1</t>
  </si>
  <si>
    <t>5/L</t>
  </si>
  <si>
    <t>F8</t>
  </si>
  <si>
    <t>POMPA EMUNGIMENTO 2</t>
  </si>
  <si>
    <t>10104.B3.300.2</t>
  </si>
  <si>
    <t>6I</t>
  </si>
  <si>
    <t>F9</t>
  </si>
  <si>
    <t>30GAA02AP010</t>
  </si>
  <si>
    <t>Pompa Emungimento 2</t>
  </si>
  <si>
    <t>6/I</t>
  </si>
  <si>
    <t>30GAA13GH010</t>
  </si>
  <si>
    <t>FILTRO AUTOPULENTE H2O POZZO</t>
  </si>
  <si>
    <t>B8</t>
  </si>
  <si>
    <t>Filtro Autopuliz. H2O</t>
  </si>
  <si>
    <t>30GAA14GH010</t>
  </si>
  <si>
    <t>7G</t>
  </si>
  <si>
    <t>7/G</t>
  </si>
  <si>
    <t>30GAF10AE001</t>
  </si>
  <si>
    <t>CARRELLO ASSE Y CALDAIA MODULO 1</t>
  </si>
  <si>
    <t>QUADRO ELETTRICO LOCALE</t>
  </si>
  <si>
    <t>30GAF10AE002</t>
  </si>
  <si>
    <t>MARTELLO INSERTO DOCCE CALDAIA MODULO 1</t>
  </si>
  <si>
    <t>30GAF10AE003</t>
  </si>
  <si>
    <t>INSERTO DOCCE CALDAIA MODULO 1</t>
  </si>
  <si>
    <t>30GAF10AE004</t>
  </si>
  <si>
    <t>CARRELLO ASSE Y CALDAIA MODULO 2</t>
  </si>
  <si>
    <t>30GAF10AE005</t>
  </si>
  <si>
    <t>MARTELLO INSERTO DOCCE CALDAIA MODULO 2</t>
  </si>
  <si>
    <t>30GAF10AE006</t>
  </si>
  <si>
    <t>INSERTO DOCCE CALDAIA MODULO 2</t>
  </si>
  <si>
    <t>30GAF10AN001</t>
  </si>
  <si>
    <t>VENTILATORE ARIA TENUTA DOCCE CALDAIA MODULO 1</t>
  </si>
  <si>
    <t>30GAF10AN002</t>
  </si>
  <si>
    <t>VENTILATORE ARIA TENUTA DOCCE CALDAIA MODULO 2</t>
  </si>
  <si>
    <t>30GAF10AP001</t>
  </si>
  <si>
    <t>PMP 1 ALTA PRESSIONE DOCCE CALDAIA</t>
  </si>
  <si>
    <t>30GAF10AP002</t>
  </si>
  <si>
    <t>30GBL10AH010</t>
  </si>
  <si>
    <t>Riscaldatore Serb. H2O Servizi</t>
  </si>
  <si>
    <t>7/C</t>
  </si>
  <si>
    <t>RISCALDATORE SERBATOIO H2O SERVIZI</t>
  </si>
  <si>
    <t>7C</t>
  </si>
  <si>
    <t>30GBN10AM001</t>
  </si>
  <si>
    <t>GBN</t>
  </si>
  <si>
    <t>AM</t>
  </si>
  <si>
    <t>SISTEMA DOSAGGIO CHIMICO - AGITATORE DEOSSIGENANTE</t>
  </si>
  <si>
    <t>10104.B3.144</t>
  </si>
  <si>
    <t>17B</t>
  </si>
  <si>
    <t>30GBN10AP001</t>
  </si>
  <si>
    <t>AP</t>
  </si>
  <si>
    <t>SISTEMA DOSAGGIO CHIMICO POMPA TRAVASO FUSTI 2</t>
  </si>
  <si>
    <t>16C</t>
  </si>
  <si>
    <t>C9</t>
  </si>
  <si>
    <t>30GBN10AP002</t>
  </si>
  <si>
    <t>SISTEMA DOSAGGIO CHIMICO POMPA TRAVASO FUSTI 1</t>
  </si>
  <si>
    <t>16B</t>
  </si>
  <si>
    <t>E8</t>
  </si>
  <si>
    <t>30GBN20AP001</t>
  </si>
  <si>
    <t>SISTEMA DOSAGGIO CHIMICO POMPA DOSATRICE DEOSSIGENANTE - 1</t>
  </si>
  <si>
    <t>15G</t>
  </si>
  <si>
    <t>D9</t>
  </si>
  <si>
    <t>30GBN30AP001</t>
  </si>
  <si>
    <t>SISTEMA DOSAGGIO CHIMICO POMPA DOSATRICE DEOSSIGENANTE - 2</t>
  </si>
  <si>
    <t>14G</t>
  </si>
  <si>
    <t>30GBN50AP001</t>
  </si>
  <si>
    <t>50</t>
  </si>
  <si>
    <t>SISTEMA DOSAGGIO CHIMICO POMPA DOSATRICE ALCALINIZZANTE - 1</t>
  </si>
  <si>
    <t>10F</t>
  </si>
  <si>
    <t>30GCF13AP010</t>
  </si>
  <si>
    <t>GCF</t>
  </si>
  <si>
    <t>13</t>
  </si>
  <si>
    <t xml:space="preserve"> - pompa osmosi inversa - alta pressione 1</t>
  </si>
  <si>
    <t>10104.B3.310.1</t>
  </si>
  <si>
    <t>LOCALE DEMI</t>
  </si>
  <si>
    <t>30GCF14AP010</t>
  </si>
  <si>
    <t>14</t>
  </si>
  <si>
    <t xml:space="preserve"> - pompa osmosi inversa - alta pressione 2</t>
  </si>
  <si>
    <t>30GCF53AP010</t>
  </si>
  <si>
    <t>53</t>
  </si>
  <si>
    <t xml:space="preserve"> - pompa rilancio permeato a EDI 1 </t>
  </si>
  <si>
    <t>10104.B3.312.1</t>
  </si>
  <si>
    <t>30GCF54AP010</t>
  </si>
  <si>
    <t>54</t>
  </si>
  <si>
    <t xml:space="preserve"> - pompa rilancio permeato a EDI 2</t>
  </si>
  <si>
    <t>30GCF63AT010</t>
  </si>
  <si>
    <t>63</t>
  </si>
  <si>
    <t>AT</t>
  </si>
  <si>
    <t xml:space="preserve"> - EDI</t>
  </si>
  <si>
    <t>10104.B3.311.1</t>
  </si>
  <si>
    <t>30GCF64AT010</t>
  </si>
  <si>
    <t>64</t>
  </si>
  <si>
    <t>30GCL01AH010</t>
  </si>
  <si>
    <t>GCL</t>
  </si>
  <si>
    <t>01</t>
  </si>
  <si>
    <t>AH</t>
  </si>
  <si>
    <t>serbatoio acqua demi - scaldiglia 1</t>
  </si>
  <si>
    <t>10104.B3.314</t>
  </si>
  <si>
    <t>30GCL02AH010</t>
  </si>
  <si>
    <t>02</t>
  </si>
  <si>
    <t>serbatoio acqua demi - scaldiglia 2</t>
  </si>
  <si>
    <t>2F</t>
  </si>
  <si>
    <t>30GCN11AP010</t>
  </si>
  <si>
    <t>GCN</t>
  </si>
  <si>
    <t xml:space="preserve"> - pompa dosaggio biocida 1</t>
  </si>
  <si>
    <t>30GCN12AP010</t>
  </si>
  <si>
    <t xml:space="preserve"> - pompa dosaggio biocida 2</t>
  </si>
  <si>
    <t>30GCN21AP010</t>
  </si>
  <si>
    <t xml:space="preserve"> - pompa dosaggio anti- incrostante 1</t>
  </si>
  <si>
    <t>30GCN22AP010</t>
  </si>
  <si>
    <t>22</t>
  </si>
  <si>
    <t xml:space="preserve"> - pompa dosaggio anti- incrostant e2</t>
  </si>
  <si>
    <t>30GCN31AP010</t>
  </si>
  <si>
    <t xml:space="preserve"> - pompa dosaggio bisolfito 1</t>
  </si>
  <si>
    <t>30GCN32AP010</t>
  </si>
  <si>
    <t>32</t>
  </si>
  <si>
    <t xml:space="preserve"> - pompa dosaggio bisolfito 2</t>
  </si>
  <si>
    <t>30GCP10AH001</t>
  </si>
  <si>
    <t>GCP</t>
  </si>
  <si>
    <t xml:space="preserve"> - scaldiglia serbatoio di lavaggio</t>
  </si>
  <si>
    <t>30GCP10AM001</t>
  </si>
  <si>
    <t xml:space="preserve"> - agitatore serbatoio di lavaggio</t>
  </si>
  <si>
    <t>30GCP12AP010</t>
  </si>
  <si>
    <t xml:space="preserve"> - pompa CIP</t>
  </si>
  <si>
    <t>30GHC01AP001</t>
  </si>
  <si>
    <t>GHC</t>
  </si>
  <si>
    <t xml:space="preserve"> pompa distribuzione acqua demi 1</t>
  </si>
  <si>
    <t>10104.B3.314.2</t>
  </si>
  <si>
    <t>2A</t>
  </si>
  <si>
    <t>30GHC01AP002</t>
  </si>
  <si>
    <t xml:space="preserve"> pompa distribuzione acqua demi 2</t>
  </si>
  <si>
    <t>30GHC05AP010</t>
  </si>
  <si>
    <t>05</t>
  </si>
  <si>
    <t xml:space="preserve"> pompa caricamento acqua demi</t>
  </si>
  <si>
    <t>2L</t>
  </si>
  <si>
    <t>30GHE01AP010</t>
  </si>
  <si>
    <t>Pompa H2O Servizi 1</t>
  </si>
  <si>
    <t>GHE</t>
  </si>
  <si>
    <t>POMPA PRESSURIZZAZIONE ACQUA INDUSTRIALE</t>
  </si>
  <si>
    <t>10104.B3.306.2</t>
  </si>
  <si>
    <t>30GHE01AP011</t>
  </si>
  <si>
    <t>Pompa H2O Servizi 2</t>
  </si>
  <si>
    <t>3/E</t>
  </si>
  <si>
    <t>3E</t>
  </si>
  <si>
    <t>30GHE01AP012</t>
  </si>
  <si>
    <t>Pompa H2O Servizi 3</t>
  </si>
  <si>
    <t>9/C</t>
  </si>
  <si>
    <t>E9</t>
  </si>
  <si>
    <t>9C</t>
  </si>
  <si>
    <t>30GHE01AP013</t>
  </si>
  <si>
    <t>Pompa H2O Servizi 4</t>
  </si>
  <si>
    <t>9/D</t>
  </si>
  <si>
    <t>013</t>
  </si>
  <si>
    <t>9D</t>
  </si>
  <si>
    <t>F7</t>
  </si>
  <si>
    <t>30GHE06AP010</t>
  </si>
  <si>
    <t>06</t>
  </si>
  <si>
    <t>POMPA REINTEGRO ACQUA DI TORRE</t>
  </si>
  <si>
    <t>Pompa Reintegro Torri 1</t>
  </si>
  <si>
    <t>30GHE06AP011</t>
  </si>
  <si>
    <t>8C</t>
  </si>
  <si>
    <t>Pompa Reintegro Torri 2</t>
  </si>
  <si>
    <t>8/C</t>
  </si>
  <si>
    <t>30GMD10AP010</t>
  </si>
  <si>
    <t>Pompa 1 Rec. H2O Tecn. Vasca 1A</t>
  </si>
  <si>
    <t>4/D</t>
  </si>
  <si>
    <t>GMD</t>
  </si>
  <si>
    <t>POMPA RECUPERO ACQUE TECNOLOGICHE DA VASCA 1A</t>
  </si>
  <si>
    <t>10104.B3.317.1</t>
  </si>
  <si>
    <t>4D</t>
  </si>
  <si>
    <t>30GMD11AP010</t>
  </si>
  <si>
    <t>Pompa 2 Rec. H2O Tecn. Vasca 1A</t>
  </si>
  <si>
    <t>5/D</t>
  </si>
  <si>
    <t>5D</t>
  </si>
  <si>
    <t>30GMD20AP010</t>
  </si>
  <si>
    <t>Pompa 1 Rec. H2O Tecn. Vasca 1B</t>
  </si>
  <si>
    <t>5/G</t>
  </si>
  <si>
    <t>POMPA RILANCIO ACQUE TECNOLOGICHE DA VASCA 1B</t>
  </si>
  <si>
    <t>5G</t>
  </si>
  <si>
    <t>A4</t>
  </si>
  <si>
    <t>30GMD21AP010</t>
  </si>
  <si>
    <t>Pompa 2 Rec. H2O Tecn. Vasca 1B</t>
  </si>
  <si>
    <t>A5</t>
  </si>
  <si>
    <t>A6</t>
  </si>
  <si>
    <t>30GME10AP010</t>
  </si>
  <si>
    <t>Pompa 1 Rilan. Acque Tecn. Vasca 2</t>
  </si>
  <si>
    <t>GME</t>
  </si>
  <si>
    <t>POMPA RILANCIO ACQUE TECNOLOGICHE DA VASCA 2</t>
  </si>
  <si>
    <t>30GME11AP010</t>
  </si>
  <si>
    <t>30HAD50AA001</t>
  </si>
  <si>
    <t>HAD</t>
  </si>
  <si>
    <t>AA</t>
  </si>
  <si>
    <t>Valv. Mot. INTERCETTAZIONE SPURGO INTERMITTENTE</t>
  </si>
  <si>
    <t>10104.B3.134</t>
  </si>
  <si>
    <t>17E</t>
  </si>
  <si>
    <t>A7</t>
  </si>
  <si>
    <t>30HAD60AA002</t>
  </si>
  <si>
    <t>60</t>
  </si>
  <si>
    <t>Valv. Mot. INTERCETTAZIONE SPURGO CONTINUO</t>
  </si>
  <si>
    <t>18A</t>
  </si>
  <si>
    <t>A8</t>
  </si>
  <si>
    <t>30HAH70AA001</t>
  </si>
  <si>
    <t>Valv. Mot. Interc. Vap. Soff. Caldaia</t>
  </si>
  <si>
    <t>13/A</t>
  </si>
  <si>
    <t>A9</t>
  </si>
  <si>
    <t>30HCB10AT001</t>
  </si>
  <si>
    <t>HCB</t>
  </si>
  <si>
    <t xml:space="preserve"> - SOFFIATORI CAVITA' 1 MOTORE 1</t>
  </si>
  <si>
    <t>10104.B3.135</t>
  </si>
  <si>
    <t>30HCB10AT002</t>
  </si>
  <si>
    <t xml:space="preserve"> - SOFFIATORI CAVITA' 1 MOTORE 2</t>
  </si>
  <si>
    <t>30HCB10AT003</t>
  </si>
  <si>
    <t xml:space="preserve"> - SOFFIATORI CAVITA' 1 MOTORE 3</t>
  </si>
  <si>
    <t>30HCB10AT004</t>
  </si>
  <si>
    <t xml:space="preserve"> - SOFFIATORI CAVITA' 1 MOTORE 4</t>
  </si>
  <si>
    <t>30HCB10AT005</t>
  </si>
  <si>
    <t xml:space="preserve"> - SOFFIATORI CAVITA' 1 MOTORE 5</t>
  </si>
  <si>
    <t>D5</t>
  </si>
  <si>
    <t>30HCB10AT006</t>
  </si>
  <si>
    <t xml:space="preserve"> - SOFFIATORI CAVITA' 2 MOTORE 1</t>
  </si>
  <si>
    <t>F6</t>
  </si>
  <si>
    <t>30HCB10AT007</t>
  </si>
  <si>
    <t>007</t>
  </si>
  <si>
    <t xml:space="preserve"> - SOFFIATORI CAVITA' 2 MOTORE 2</t>
  </si>
  <si>
    <t>G4</t>
  </si>
  <si>
    <t>30HCB10AT008</t>
  </si>
  <si>
    <t>008</t>
  </si>
  <si>
    <t xml:space="preserve"> - SOFFIATORI CAVITA' 2 MOTORE 3</t>
  </si>
  <si>
    <t>G5</t>
  </si>
  <si>
    <t>30HCB10AT009</t>
  </si>
  <si>
    <t>009</t>
  </si>
  <si>
    <t xml:space="preserve"> - SOFFIATORI CAVITA' 2 MOTORE 4</t>
  </si>
  <si>
    <t>C4</t>
  </si>
  <si>
    <t>30HCB10AT010</t>
  </si>
  <si>
    <t xml:space="preserve"> - SOFFIATORI CAVITA' 2 MOTORE 5</t>
  </si>
  <si>
    <t>E4</t>
  </si>
  <si>
    <t>30HCB10AT011</t>
  </si>
  <si>
    <t xml:space="preserve"> - SOFFIATORI CAVITA' 3 MOTORE 1</t>
  </si>
  <si>
    <t>C5</t>
  </si>
  <si>
    <t>30HCB10AT012</t>
  </si>
  <si>
    <t xml:space="preserve"> - SOFFIATORI CAVITA' 3 MOTORE 2</t>
  </si>
  <si>
    <t>30HCB10AT013</t>
  </si>
  <si>
    <t xml:space="preserve"> - SOFFIATORI CAVITA' 3 MOTORE 3</t>
  </si>
  <si>
    <t>F4</t>
  </si>
  <si>
    <t>30HCB10AT014</t>
  </si>
  <si>
    <t>014</t>
  </si>
  <si>
    <t xml:space="preserve"> - SOFFIATORI CAVITA' 3 MOTORE 4</t>
  </si>
  <si>
    <t>30HCB10AT015</t>
  </si>
  <si>
    <t>015</t>
  </si>
  <si>
    <t xml:space="preserve"> - SOFFIATORI CAVITA' 3 MOTORE 5</t>
  </si>
  <si>
    <t>G3</t>
  </si>
  <si>
    <t>30HCB10AT016</t>
  </si>
  <si>
    <t>016</t>
  </si>
  <si>
    <t xml:space="preserve"> - SOFFIATORI CAVITA' 4 MOTORE 1</t>
  </si>
  <si>
    <t>C6</t>
  </si>
  <si>
    <t>30HCB10AT017</t>
  </si>
  <si>
    <t>017</t>
  </si>
  <si>
    <t xml:space="preserve"> - SOFFIATORI CAVITA' 4 MOTORE 2</t>
  </si>
  <si>
    <t>30HCB10AT018</t>
  </si>
  <si>
    <t>018</t>
  </si>
  <si>
    <t xml:space="preserve"> - SOFFIATORI CAVITA' 4 MOTORE 3</t>
  </si>
  <si>
    <t>30HCB10AT019</t>
  </si>
  <si>
    <t>019</t>
  </si>
  <si>
    <t xml:space="preserve"> - SOFFIATORI CAVITA' 4 MOTORE 4</t>
  </si>
  <si>
    <t>30HCB10AT020</t>
  </si>
  <si>
    <t xml:space="preserve"> - SOFFIATORI CAVITA' 4 MOTORE 5</t>
  </si>
  <si>
    <t>30HCB10AT021</t>
  </si>
  <si>
    <t>021</t>
  </si>
  <si>
    <t xml:space="preserve"> - SOFFIATORI CAVITA' 5 MOTORE 1</t>
  </si>
  <si>
    <t>30HCB10AT022</t>
  </si>
  <si>
    <t>022</t>
  </si>
  <si>
    <t xml:space="preserve"> - SOFFIATORI CAVITA' 5 MOTORE 2</t>
  </si>
  <si>
    <t>30HCB10AT023</t>
  </si>
  <si>
    <t>023</t>
  </si>
  <si>
    <t xml:space="preserve"> - SOFFIATORI CAVITA' 5 MOTORE 3</t>
  </si>
  <si>
    <t>B4</t>
  </si>
  <si>
    <t>30HCB10AT024</t>
  </si>
  <si>
    <t>024</t>
  </si>
  <si>
    <t xml:space="preserve"> - SOFFIATORI CAVITA' 5 MOTORE 4</t>
  </si>
  <si>
    <t>30HCB10AT025</t>
  </si>
  <si>
    <t>025</t>
  </si>
  <si>
    <t xml:space="preserve"> - SOFFIATORI CAVITA' 5 MOTORE 5</t>
  </si>
  <si>
    <t>30HCB10GH001</t>
  </si>
  <si>
    <t>Qloc. SOFFIATORI</t>
  </si>
  <si>
    <t>14A</t>
  </si>
  <si>
    <t>30HCB20AA404</t>
  </si>
  <si>
    <t>404</t>
  </si>
  <si>
    <t>SISTEMA PULIZIA CALDAIA - VALVOLA MOTORIZZATA SCARICO CENERI A VENTING STATION</t>
  </si>
  <si>
    <t>13C</t>
  </si>
  <si>
    <t>Valv. Drenaggio Linea Vap. Caldaia</t>
  </si>
  <si>
    <t>13/C</t>
  </si>
  <si>
    <t>H6</t>
  </si>
  <si>
    <t>30HCC00GH001</t>
  </si>
  <si>
    <t>Qloc. Sistema Pulizia Docce</t>
  </si>
  <si>
    <t>11/A</t>
  </si>
  <si>
    <t>B7</t>
  </si>
  <si>
    <t>30HDA10AF001</t>
  </si>
  <si>
    <t>HDA</t>
  </si>
  <si>
    <t>VAGLIO SGROSSATORE SCORIE 1</t>
  </si>
  <si>
    <t>10104.B3.146</t>
  </si>
  <si>
    <t>17C</t>
  </si>
  <si>
    <t>30HDA10AF002</t>
  </si>
  <si>
    <t>VAGLIO SGROSSATORE SCORIE 2</t>
  </si>
  <si>
    <t>18C</t>
  </si>
  <si>
    <t>30HDA10AF003</t>
  </si>
  <si>
    <t>TAVOLA VIBRANTE 1 (FISSA)</t>
  </si>
  <si>
    <t>18H</t>
  </si>
  <si>
    <t>30HDA10AF004</t>
  </si>
  <si>
    <t>Tavola Vibr. Mobile Scorie</t>
  </si>
  <si>
    <t>16/D</t>
  </si>
  <si>
    <t>TAVOLA VIBRANTE 2 (MOBILE) - VIBRAZIONE</t>
  </si>
  <si>
    <t>30HDA10AF005</t>
  </si>
  <si>
    <t>NASTRO TRASFERIMENTO SCORIE STAND-BY 3B MOTORE NASTRO</t>
  </si>
  <si>
    <t>18D</t>
  </si>
  <si>
    <t>30HDA10AF006</t>
  </si>
  <si>
    <t>NASTRO TRASFERIMENTO SCORIE STAND-BY 3A MOTORE NASTRO</t>
  </si>
  <si>
    <t>17D</t>
  </si>
  <si>
    <t>30HDA10AF007</t>
  </si>
  <si>
    <t>NASTRO TRASFERIMENTO SCORIE IN FOSSA 3C - MOTORE NASTRO</t>
  </si>
  <si>
    <t>30HDA10AF010</t>
  </si>
  <si>
    <t>Nastro Recupero Scorie Stand-By 3B</t>
  </si>
  <si>
    <t>12F</t>
  </si>
  <si>
    <t>H3</t>
  </si>
  <si>
    <t>30HDA10AF011</t>
  </si>
  <si>
    <t>Nastro Recupero Scorie 3A</t>
  </si>
  <si>
    <t>12E</t>
  </si>
  <si>
    <t>30HDA10AF012</t>
  </si>
  <si>
    <t>Nastro Recupero Scorie 3C</t>
  </si>
  <si>
    <t>14F</t>
  </si>
  <si>
    <t>B5</t>
  </si>
  <si>
    <t>30HDA10GX004</t>
  </si>
  <si>
    <t>TAVOLA VIBRANTE 2 (MOBILE) - TRASLAZIONE</t>
  </si>
  <si>
    <t>16D</t>
  </si>
  <si>
    <t>H4</t>
  </si>
  <si>
    <t>30HDA10GY001</t>
  </si>
  <si>
    <t>GY</t>
  </si>
  <si>
    <t>17G</t>
  </si>
  <si>
    <t>30HDA10GY002</t>
  </si>
  <si>
    <t>18G</t>
  </si>
  <si>
    <t>30HDA10GY004</t>
  </si>
  <si>
    <t>30HDA17AN001</t>
  </si>
  <si>
    <t>17</t>
  </si>
  <si>
    <t>VENTILATORE ASPIRAZIONE VAPORI DI ESTRAZIONE SCORIE</t>
  </si>
  <si>
    <t>10104.B3.164</t>
  </si>
  <si>
    <t>D3</t>
  </si>
  <si>
    <t>30HDC</t>
  </si>
  <si>
    <t>HDC</t>
  </si>
  <si>
    <t>QUADRO SISTEMA DI PULIZIA (MARTELLI)</t>
  </si>
  <si>
    <t>30HDC00GH001</t>
  </si>
  <si>
    <t>00</t>
  </si>
  <si>
    <t>QUADRO SISTEMA DI PULIZIA (DOCCE)</t>
  </si>
  <si>
    <t>11A</t>
  </si>
  <si>
    <t>30HDC10AF001</t>
  </si>
  <si>
    <t>D - Clapet Cenere EVA - SH SX</t>
  </si>
  <si>
    <t>18/F</t>
  </si>
  <si>
    <t>SEZIONE CONVETTIVA + ECO - MOTORE AZIONAMENTO DOPPIO CLAPPET 1</t>
  </si>
  <si>
    <t>18F</t>
  </si>
  <si>
    <t>30HDC10AF002</t>
  </si>
  <si>
    <t>E5</t>
  </si>
  <si>
    <t>SEZIONE CONVETTIVA + ECO - MOTORE AZIONAMENTO DOPPIO CLAPPET 2</t>
  </si>
  <si>
    <t>D6</t>
  </si>
  <si>
    <t>30HDC15AF001</t>
  </si>
  <si>
    <t>Coclea Cenere Sotto 3 Passo Caldaia</t>
  </si>
  <si>
    <t>9/E</t>
  </si>
  <si>
    <t>D4</t>
  </si>
  <si>
    <t>15</t>
  </si>
  <si>
    <t>SEZIONE RADIANTE 2°/3° PASSAGGIO - COCLEA RAFFREDDATA 1</t>
  </si>
  <si>
    <t>9E</t>
  </si>
  <si>
    <t>30HDC15AF002</t>
  </si>
  <si>
    <t>Coclea Cenere Sotto 2 Passo Caldaia</t>
  </si>
  <si>
    <t>10/E</t>
  </si>
  <si>
    <t>SEZIONE RADIANTE 2°/3° PASSAGGIO - COCLEA RAFFREDDATA 2</t>
  </si>
  <si>
    <t>G6</t>
  </si>
  <si>
    <t>30HDC15AF003</t>
  </si>
  <si>
    <t>D - Clapet Cenere A Readler SX</t>
  </si>
  <si>
    <t>17/F</t>
  </si>
  <si>
    <t>SEZIONE RADIANTE 2°/3° PASSAGGIO - CLAPET 1</t>
  </si>
  <si>
    <t>17F</t>
  </si>
  <si>
    <t>30HDC15AF004</t>
  </si>
  <si>
    <t>D - Clapet Cenere A Readler DX</t>
  </si>
  <si>
    <t>18/B</t>
  </si>
  <si>
    <t>SEZIONE RADIANTE 2°/3° PASSAGGIO - CLAPET 2</t>
  </si>
  <si>
    <t>18B</t>
  </si>
  <si>
    <t>30HDC20AF001</t>
  </si>
  <si>
    <t>D - Clapet Cenere SH4 SX</t>
  </si>
  <si>
    <t>SEZIONE CONVETTIVA + ECO - MOTORE AZIONAMENTO DOPPIO CLAPPET 3</t>
  </si>
  <si>
    <t>F5</t>
  </si>
  <si>
    <t>30HDC20AF002</t>
  </si>
  <si>
    <t>D - Clapet Cenere SH4 DX</t>
  </si>
  <si>
    <t>9/B</t>
  </si>
  <si>
    <t>SEZIONE CONVETTIVA + ECO - MOTORE AZIONAMENTO DOPPIO CLAPPET 4</t>
  </si>
  <si>
    <t>9B</t>
  </si>
  <si>
    <t>30HDC25AF001</t>
  </si>
  <si>
    <t>Readler Cenere Caldaia SX</t>
  </si>
  <si>
    <t>16/E</t>
  </si>
  <si>
    <t>C8</t>
  </si>
  <si>
    <t>25</t>
  </si>
  <si>
    <t>SEZIONE CONVETTIVA + ECO - REDLER 1 TRASPORTO CENERI (SINISTRO)</t>
  </si>
  <si>
    <t>16E</t>
  </si>
  <si>
    <t>30HDC25AF002</t>
  </si>
  <si>
    <t>Readler Cenere Caldaia DX</t>
  </si>
  <si>
    <t>16/G</t>
  </si>
  <si>
    <t>SEZIONE CONVETTIVA + ECO - REDLER 1 TRASPORTO CENERI (DESTRO)</t>
  </si>
  <si>
    <t>16G</t>
  </si>
  <si>
    <t>30HDC25AF003</t>
  </si>
  <si>
    <t>Elevator. A Tazze Cenere Caldaia SX</t>
  </si>
  <si>
    <t>SEZIONE RADIANTE 2°/3° PASSAGGIO - ELEVATORE 1 - MOTORE 1</t>
  </si>
  <si>
    <t>30HDC25AF004</t>
  </si>
  <si>
    <t>Elevator. A Tazze Cenere Caldaia DX</t>
  </si>
  <si>
    <t>9/F</t>
  </si>
  <si>
    <t>H7</t>
  </si>
  <si>
    <t>SEZIONE RADIANTE 2°/3° PASSAGGIO - ELEVATORE 2 - MOTORE 2</t>
  </si>
  <si>
    <t>9F</t>
  </si>
  <si>
    <t>30HDC25AF005</t>
  </si>
  <si>
    <t>Readler SX Sex. Convettiva</t>
  </si>
  <si>
    <t>REDLER TRASPORTO CENERI - DESTRO</t>
  </si>
  <si>
    <t>30HDC25AF006</t>
  </si>
  <si>
    <t>Readler DX Sex. Convettiva</t>
  </si>
  <si>
    <t>REDLER TRASPORTO CENERI - SINISTRO</t>
  </si>
  <si>
    <t>30HDC30AF001</t>
  </si>
  <si>
    <t>D - Clapet Cenere SH3.1 SX</t>
  </si>
  <si>
    <t>10/B</t>
  </si>
  <si>
    <t>SEZIONE CONVETTIVA + ECO - MOTORE AZIONAMENTO DOPPIO CLAPPET 5</t>
  </si>
  <si>
    <t>10B</t>
  </si>
  <si>
    <t>30HDC30AF002</t>
  </si>
  <si>
    <t>D - Clapet Cenere SH3.1 DX</t>
  </si>
  <si>
    <t>10/C</t>
  </si>
  <si>
    <t>SEZIONE CONVETTIVA + ECO - MOTORE AZIONAMENTO DOPPIO CLAPPET 6</t>
  </si>
  <si>
    <t>10C</t>
  </si>
  <si>
    <t>30HDC35AF001</t>
  </si>
  <si>
    <t>Coclea 1 Cenere Sotto ECO VERT.</t>
  </si>
  <si>
    <t>8/E</t>
  </si>
  <si>
    <t>B9</t>
  </si>
  <si>
    <t>35</t>
  </si>
  <si>
    <t>ECO VERTICALE - COCLEA 1</t>
  </si>
  <si>
    <t>8E</t>
  </si>
  <si>
    <t>30HDC35AF002</t>
  </si>
  <si>
    <t>Coclea 2 Cenere Sotto ECO VERT.</t>
  </si>
  <si>
    <t>ECO VERTICALE - COCLEA 2</t>
  </si>
  <si>
    <t>30HDC35AF003</t>
  </si>
  <si>
    <t>15/D</t>
  </si>
  <si>
    <t>ECO VERTICALE - DOPPIO CLAPET</t>
  </si>
  <si>
    <t>15D</t>
  </si>
  <si>
    <t>30HDC40AF001</t>
  </si>
  <si>
    <t>D - Clapet Cenere SH3.2 SX</t>
  </si>
  <si>
    <t>11/B</t>
  </si>
  <si>
    <t>SEZIONE CONVETTIVA + ECO - MOTORE AZIONAMENTO DOPPIO CLAPPET 7</t>
  </si>
  <si>
    <t>11B</t>
  </si>
  <si>
    <t>30HDC40AF002</t>
  </si>
  <si>
    <t>D - Clapet Cenere SH3.2 DX</t>
  </si>
  <si>
    <t>11/C</t>
  </si>
  <si>
    <t>SEZIONE CONVETTIVA + ECO - MOTORE AZIONAMENTO DOPPIO CLAPPET 8</t>
  </si>
  <si>
    <t>11C</t>
  </si>
  <si>
    <t>30HDC45AF001</t>
  </si>
  <si>
    <t>Readler Trasv. Cenere Caldaia</t>
  </si>
  <si>
    <t>12/G</t>
  </si>
  <si>
    <t>45</t>
  </si>
  <si>
    <t>000</t>
  </si>
  <si>
    <t>SEZIONE CONVETTIVA + ECO - REDLER 1 TRASPORTO CENERI - TRASVERSALE</t>
  </si>
  <si>
    <t>12G</t>
  </si>
  <si>
    <t>30HDC45AF002</t>
  </si>
  <si>
    <t>SEZIONE CONVETTIVA + ECO - VIBROVAGLIO</t>
  </si>
  <si>
    <t>VibroVaglio Cenere Caldaia</t>
  </si>
  <si>
    <t>30HDC45AM001</t>
  </si>
  <si>
    <t>Rompizolle Cenere Caldaia</t>
  </si>
  <si>
    <t>13/F</t>
  </si>
  <si>
    <t>SEZIONE CONVETTIVA + ECO -MULINO</t>
  </si>
  <si>
    <t>13F</t>
  </si>
  <si>
    <t>30HDC50AF001</t>
  </si>
  <si>
    <t>D - Clapet Cenere SH2.1 SX</t>
  </si>
  <si>
    <t>12/B</t>
  </si>
  <si>
    <t>SEZIONE CONVETTIVA + ECO - MOTORE AZIONAMENTO DOPPIO CLAPPET 9</t>
  </si>
  <si>
    <t>12B</t>
  </si>
  <si>
    <t>G7</t>
  </si>
  <si>
    <t>30HDC50AF002</t>
  </si>
  <si>
    <t>D - Clapet Cenere SH2.1 DX</t>
  </si>
  <si>
    <t>12/C</t>
  </si>
  <si>
    <t>SEZIONE CONVETTIVA + ECO - MOTORE AZIONAMENTO DOPPIO CLAPPET 10</t>
  </si>
  <si>
    <t>12C</t>
  </si>
  <si>
    <t>30HDC55AF001</t>
  </si>
  <si>
    <t>55</t>
  </si>
  <si>
    <t>ECO VERTICALE - REDLER</t>
  </si>
  <si>
    <t>12H</t>
  </si>
  <si>
    <t>Readler a Stocc. Cenere Caldaia</t>
  </si>
  <si>
    <t>12/H</t>
  </si>
  <si>
    <t>30HDC60AF001</t>
  </si>
  <si>
    <t>D - Clapet Cenere SH2.2 SX</t>
  </si>
  <si>
    <t>13/D</t>
  </si>
  <si>
    <t>SEZIONE CONVETTIVA + ECO - MOTORE AZIONAMENTO DOPPIO CLAPPET 11</t>
  </si>
  <si>
    <t>13D</t>
  </si>
  <si>
    <t>30HDC60AF002</t>
  </si>
  <si>
    <t>D - Clapet Cenere SH2.2 DX</t>
  </si>
  <si>
    <t>13/E</t>
  </si>
  <si>
    <t>SEZIONE CONVETTIVA + ECO - MOTORE AZIONAMENTO DOPPIO CLAPPET 12</t>
  </si>
  <si>
    <t>13E</t>
  </si>
  <si>
    <t>30HDC70AF001</t>
  </si>
  <si>
    <t>D - Clapet Cenere ECO 1 SX</t>
  </si>
  <si>
    <t>14/B</t>
  </si>
  <si>
    <t>G8</t>
  </si>
  <si>
    <t>SEZIONE CONVETTIVA + ECO - MOTORE AZIONAMENTO DOPPIO CLAPPET 13</t>
  </si>
  <si>
    <t>14B</t>
  </si>
  <si>
    <t>G9</t>
  </si>
  <si>
    <t>30HDC70AF002</t>
  </si>
  <si>
    <t>D - Clapet Cenere ECO 1 DX</t>
  </si>
  <si>
    <t>14/C</t>
  </si>
  <si>
    <t>70</t>
  </si>
  <si>
    <t>SEZIONE CONVETTIVA + ECO - MOTORE AZIONAMENTO DOPPIO CLAPPET 14</t>
  </si>
  <si>
    <t>14C</t>
  </si>
  <si>
    <t>30HDC80AF001</t>
  </si>
  <si>
    <t>D - Clapet Cenere ECO 2 SX</t>
  </si>
  <si>
    <t>14/D</t>
  </si>
  <si>
    <t>80</t>
  </si>
  <si>
    <t>SEZIONE CONVETTIVA + ECO - MOTORE AZIONAMENTO DOPPIO CLAPPET 15</t>
  </si>
  <si>
    <t>14D</t>
  </si>
  <si>
    <t>30HDC80AF002</t>
  </si>
  <si>
    <t>D - Clapet Cenere ECO 2 DX</t>
  </si>
  <si>
    <t>14/E</t>
  </si>
  <si>
    <t>SEZIONE CONVETTIVA + ECO - MOTORE AZIONAMENTO DOPPIO CLAPPET 16</t>
  </si>
  <si>
    <t>14E</t>
  </si>
  <si>
    <t>30HDC90AF001</t>
  </si>
  <si>
    <t>D - Clapet Cenere ECO 3 SX</t>
  </si>
  <si>
    <t>15/B</t>
  </si>
  <si>
    <t>90</t>
  </si>
  <si>
    <t>SEZIONE CONVETTIVA + ECO - MOTORE AZIONAMENTO DOPPIO CLAPPET 17</t>
  </si>
  <si>
    <t>15B</t>
  </si>
  <si>
    <t>30HDC90AF002</t>
  </si>
  <si>
    <t>D - Clapet Cenere ECO 3 DX</t>
  </si>
  <si>
    <t>15/C</t>
  </si>
  <si>
    <t>SEZIONE CONVETTIVA + ECO - MOTORE AZIONAMENTO DOPPIO CLAPPET 18</t>
  </si>
  <si>
    <t>15C</t>
  </si>
  <si>
    <t>D8</t>
  </si>
  <si>
    <t>30HDD10AF010</t>
  </si>
  <si>
    <t>Nastro Trasp. Cenere Celle 1 - 4 FM 1</t>
  </si>
  <si>
    <t>3/G</t>
  </si>
  <si>
    <t>NASTRO TRASPORTATORE CENERE CELLE 1-4 FM1</t>
  </si>
  <si>
    <t>3G</t>
  </si>
  <si>
    <t>HDD</t>
  </si>
  <si>
    <t>REDLER 1 DI ESTR. PCR DA FILTRO A MANICHE 1 (FF1)</t>
  </si>
  <si>
    <t>10104.B3.200</t>
  </si>
  <si>
    <t>30HDD10AF011</t>
  </si>
  <si>
    <t>Nastro Trasp. Cenere Celle 5 - 8 FM 1</t>
  </si>
  <si>
    <t>4/F</t>
  </si>
  <si>
    <t>REDLER 2 DI ESTR. PCR DA FILTRO A MANICHE 2 (FF1)</t>
  </si>
  <si>
    <t>4G</t>
  </si>
  <si>
    <t>30HDD10AF015</t>
  </si>
  <si>
    <t>Rotoc. Scarico Cenere Celle 1 - 4 FM 1</t>
  </si>
  <si>
    <t>2/D</t>
  </si>
  <si>
    <t>ROTOCELLA A REDLER TRASVERSALE 1</t>
  </si>
  <si>
    <t>30HDD10AF016</t>
  </si>
  <si>
    <t>D - Clapet Scar. Emer. Celle 1 - 4 FM 1</t>
  </si>
  <si>
    <t>5/C</t>
  </si>
  <si>
    <t>DOPPIO CLAPET - SCARICO EMERGENZA 1 (FF1)</t>
  </si>
  <si>
    <t>5C</t>
  </si>
  <si>
    <t>30HDD10AF017</t>
  </si>
  <si>
    <t>Rotoc. Scarico Cenere Celle 5 - 8 FM 1</t>
  </si>
  <si>
    <t>ROTOCELLA A REDLER TRASVERSALE 2</t>
  </si>
  <si>
    <t>30HDD10AF018</t>
  </si>
  <si>
    <t>D - Clapet Scar. Emer. Celle 5 - 8 FM 1</t>
  </si>
  <si>
    <t>6/B</t>
  </si>
  <si>
    <t>DOPPIO CLAPET - SCARICO EMERGENZA 2 (FF1)</t>
  </si>
  <si>
    <t>6B</t>
  </si>
  <si>
    <t>30HDD10GH010</t>
  </si>
  <si>
    <t>FF - QUADRO TRACIATURE AREA FUMI</t>
  </si>
  <si>
    <t>30HDD20AF010</t>
  </si>
  <si>
    <t>FF2 - TRASPOTATORE 1 DA FILTRO A MANICHE</t>
  </si>
  <si>
    <t>10104.B3.202</t>
  </si>
  <si>
    <t>6F</t>
  </si>
  <si>
    <t>Nastro Trasp. Cenere Celle 1 - 4 FM 2</t>
  </si>
  <si>
    <t>6/F</t>
  </si>
  <si>
    <t>30HDD20AF011</t>
  </si>
  <si>
    <t>FF2 - TRASPOTATORE 2 DA FILTRO A MANICHE</t>
  </si>
  <si>
    <t>Nastro Trasp. Cenere Celle 5 - 8 FM 2</t>
  </si>
  <si>
    <t>30HDD20AF015</t>
  </si>
  <si>
    <t>Rotoc. Scarico Cenere Celle 1 - 4 FM 2</t>
  </si>
  <si>
    <t>H9</t>
  </si>
  <si>
    <t>30HDD20AF016</t>
  </si>
  <si>
    <t>D - Clapet Scar. Emer. Celle 1 - 4 FM 2</t>
  </si>
  <si>
    <t>11/E</t>
  </si>
  <si>
    <t>DOPPIO CLAPET - SCARICO DI EMERGENZA 1 (FF2)</t>
  </si>
  <si>
    <t>11E</t>
  </si>
  <si>
    <t>30HDD20AF017</t>
  </si>
  <si>
    <t>Rotoc. Scarico Cenere Celle 5 - 8 FM 2</t>
  </si>
  <si>
    <t>30HDD20AF018</t>
  </si>
  <si>
    <t>D - Clapet Scar. Emer. Celle 5 - 8 FM 2</t>
  </si>
  <si>
    <t>12/D</t>
  </si>
  <si>
    <t>DOPPIO CLAPET - SCARICO DI EMERGENZA 2 (FF2)</t>
  </si>
  <si>
    <t>12D</t>
  </si>
  <si>
    <t>30HDD20GH010</t>
  </si>
  <si>
    <t>FF2 - QUADRO TRACIATURE AREA FUMI</t>
  </si>
  <si>
    <t>1A</t>
  </si>
  <si>
    <t>30HHC01AM001</t>
  </si>
  <si>
    <t>HHC</t>
  </si>
  <si>
    <t>MOTORE VENTILATORE TANK OLIO</t>
  </si>
  <si>
    <t>10104.B3.185</t>
  </si>
  <si>
    <t>30HHC02AP001</t>
  </si>
  <si>
    <t>HHX</t>
  </si>
  <si>
    <t>POMPA IDRAULICA ALIMENTAZIONE UTENZE GRIGLIA 1+2</t>
  </si>
  <si>
    <t>30HHC02AP003</t>
  </si>
  <si>
    <t>POMPA IDRAULICA ALIMENTAZIONE UTENZE GRIGLIA 3+4</t>
  </si>
  <si>
    <t>30HHC05AN001</t>
  </si>
  <si>
    <t>VENTOLA DI RAFFREDAMENTO 1 - STAZIONE POMPE IDRAULICHE</t>
  </si>
  <si>
    <t>30HHC05AN002</t>
  </si>
  <si>
    <t>VENTOLA DI RAFFREDAMENTO 2 - STAZIONE POMPE IDRAULICHE</t>
  </si>
  <si>
    <t>30HHC10AP001</t>
  </si>
  <si>
    <t>HHH</t>
  </si>
  <si>
    <t>POMPA IDRAULICA ALIMENTAZIONE GRIGLIA 1 SPINTORE</t>
  </si>
  <si>
    <t>10104.B3.186</t>
  </si>
  <si>
    <t>30HHC10GH001</t>
  </si>
  <si>
    <t>Qloc. LV GRATE CONTROL CAB. EMERGENCY SUPPLY</t>
  </si>
  <si>
    <t>1C</t>
  </si>
  <si>
    <t>Qloc. LV GRATE CONTROL CABINET</t>
  </si>
  <si>
    <t>30HHC11AP001</t>
  </si>
  <si>
    <t>GRIGLIA 1 - POMPA OLIO GRIGLIA CORSIA 1 DRIVE 1</t>
  </si>
  <si>
    <t>10104.B3.187</t>
  </si>
  <si>
    <t>30HHC12AP001</t>
  </si>
  <si>
    <t>GRIGLIA 1 - POMPA OLIO GRIGLIA CORSIA 1 DRIVE 2</t>
  </si>
  <si>
    <t>30HHC13AP001</t>
  </si>
  <si>
    <t>GRIGLIA 1 - POMPA OLIO GRIGLIA CORSIA 1 DRIVE 3</t>
  </si>
  <si>
    <t>30HHC20AP001</t>
  </si>
  <si>
    <t>POMPA IDRAULICA ALIMENTAZIONE GRIGLIA 2 SPINTORE</t>
  </si>
  <si>
    <t>30HHC21AP001</t>
  </si>
  <si>
    <t>GRIGLIA 2 - POMPA OLIO GRIGLIA CORSIA 2 DRIVE 1</t>
  </si>
  <si>
    <t>30HHC22AP001</t>
  </si>
  <si>
    <t>GRIGLIA 2 - POMPA OLIO GRIGLIA CORSIA 2 DRIVE 2</t>
  </si>
  <si>
    <t>H5</t>
  </si>
  <si>
    <t>30HHC23AP001</t>
  </si>
  <si>
    <t>23</t>
  </si>
  <si>
    <t>GRIGLIA 2 - POMPA OLIO GRIGLIA CORSIA 2 DRIVE 3</t>
  </si>
  <si>
    <t>E6</t>
  </si>
  <si>
    <t>30HHC30AP001</t>
  </si>
  <si>
    <t>POMPA IDRAULICA ALIMENTAZIONE GRIGLIA 3 SPINTORE</t>
  </si>
  <si>
    <t>30HHC31AP001</t>
  </si>
  <si>
    <t>GRIGLIA 3 - POMPA OLIO GRIGLIA CORSIA 3 DRIVE 1</t>
  </si>
  <si>
    <t>10104.B3.188</t>
  </si>
  <si>
    <t>30HHC32AP001</t>
  </si>
  <si>
    <t>GRIGLIA 3 - POMPA OLIO GRIGLIA CORSIA 3 DRIVE 2</t>
  </si>
  <si>
    <t>30HHC33AP001</t>
  </si>
  <si>
    <t>33</t>
  </si>
  <si>
    <t>GRIGLIA 3 - POMPA OLIO GRIGLIA CORSIA 3 DRIVE 3</t>
  </si>
  <si>
    <t>30HHC40AP001</t>
  </si>
  <si>
    <t>POMPA IDRAULICA ALIMENTAZIONE GRIGLIA 4 SPINTORE</t>
  </si>
  <si>
    <t>30HHC41AP001</t>
  </si>
  <si>
    <t>GRIGLIA 4 - POMPA OLIO GRIGLIA CORSIA 4 DRIVE 1</t>
  </si>
  <si>
    <t>30HHC42AP001</t>
  </si>
  <si>
    <t>GRIGLIA 4 - POMPA OLIO GRIGLIA CORSIA 4 DRIVE 2</t>
  </si>
  <si>
    <t>30HHC43AP001</t>
  </si>
  <si>
    <t>43</t>
  </si>
  <si>
    <t>GRIGLIA 4 - POMPA OLIO GRIGLIA CORSIA 4 DRIVE 3</t>
  </si>
  <si>
    <t>30HHC50AP001</t>
  </si>
  <si>
    <t>POMPA IDRAULICA ALIMENTAZIONE GRIGLIA 5 SPINTORE</t>
  </si>
  <si>
    <t>30HHC51AP001</t>
  </si>
  <si>
    <t>51</t>
  </si>
  <si>
    <t>GRIGLIA 5 - POMPA OLIO GRIGLIA CORSIA 5 DRIVE 1</t>
  </si>
  <si>
    <t>30HHC52AP001</t>
  </si>
  <si>
    <t>52</t>
  </si>
  <si>
    <t>GRIGLIA 5 - POMPA OLIO GRIGLIA CORSIA 5 DRIVE 2</t>
  </si>
  <si>
    <t>30HHC53AP001</t>
  </si>
  <si>
    <t>GRIGLIA 5 - POMPA OLIO GRIGLIA CORSIA 5 DRIVE 3</t>
  </si>
  <si>
    <t>30HHC96AP001</t>
  </si>
  <si>
    <t>96</t>
  </si>
  <si>
    <t>POMPA IDRAULICA SCARICATORE 1+2</t>
  </si>
  <si>
    <t>30HHC97AP001</t>
  </si>
  <si>
    <t>97</t>
  </si>
  <si>
    <t>POMPA IDRAULICA SCARICATORE 3+4</t>
  </si>
  <si>
    <t>30HHH90AB501</t>
  </si>
  <si>
    <t>AB</t>
  </si>
  <si>
    <t>501</t>
  </si>
  <si>
    <t>CENTRALINA OLIO</t>
  </si>
  <si>
    <t>SERRANDA CANALE CARICO RIFIUTI 1</t>
  </si>
  <si>
    <t>30HHH91AB501</t>
  </si>
  <si>
    <t>91</t>
  </si>
  <si>
    <t>SERRANDA CANALE CARICO RIFIUTI 2</t>
  </si>
  <si>
    <t>30HDA96AP001</t>
  </si>
  <si>
    <t>POMPA OLIO SCARICO CENERI GRGLIA 1 (GONDOLA)</t>
  </si>
  <si>
    <t>30HDA97AP001</t>
  </si>
  <si>
    <t>POMPA OLIO SCARICO CENERI GRGLIA 2 (GONDOLA)</t>
  </si>
  <si>
    <t>30HDA17AA001</t>
  </si>
  <si>
    <t>VENTILATORE ESTRAZIONE VAPORI SCARICO</t>
  </si>
  <si>
    <t>30PGE12AP001</t>
  </si>
  <si>
    <t>PGE</t>
  </si>
  <si>
    <t>POMPA RAFFREDDAMENTO CAMICIA ALIMENTAZIONE GRIGLIA S1</t>
  </si>
  <si>
    <t>30PGE12AP002</t>
  </si>
  <si>
    <t>POMPA RAFFREDDAMENTO CAMICIA ALIMENTAZIONE GRIGLIA S2</t>
  </si>
  <si>
    <t>30PGE22AP001</t>
  </si>
  <si>
    <t>POMPA RAFFREDDAMENTO CAMICIA ALIMENTAZIONE GRIGLIA S3</t>
  </si>
  <si>
    <t>30PGE22AP002</t>
  </si>
  <si>
    <t>POMPA RAFFREDDAMENTO CAMICIA ALIMENTAZIONE GRIGLIA S4</t>
  </si>
  <si>
    <t>30HHX06AP001</t>
  </si>
  <si>
    <t>POMPA RICIRCOLO OLIO SERBATOIO 1</t>
  </si>
  <si>
    <t>30HHX01AM001</t>
  </si>
  <si>
    <t>RISCALDATORE OLIO SERBATOIO 1</t>
  </si>
  <si>
    <t>30HHL20AA001</t>
  </si>
  <si>
    <t>Valv. Mot. A Comb. Bruciatore A</t>
  </si>
  <si>
    <t>HHL</t>
  </si>
  <si>
    <t>VALVOLA MOTORIZZATA BRUCIATORE A</t>
  </si>
  <si>
    <t>10104.B3.139</t>
  </si>
  <si>
    <t>VENTILATORE ARIA DI COMBUSTIONE BRUCIATORE ACCENSIONE A</t>
  </si>
  <si>
    <t>30HHL20AN001</t>
  </si>
  <si>
    <t>Inv. Ventil. A Comb. Bruciatore A</t>
  </si>
  <si>
    <t>30HHL30AA001</t>
  </si>
  <si>
    <t>Valv. Mot. A Comb. Bruciatore B</t>
  </si>
  <si>
    <t>8/A</t>
  </si>
  <si>
    <t>VALVOLA MOTORIZZATA BRUCIATORE B</t>
  </si>
  <si>
    <t>8A</t>
  </si>
  <si>
    <t>VENTILATORE ARIA DI COMBUSTIONE BRUCIATORE ACCENSIONE B</t>
  </si>
  <si>
    <t>30HHL30AN001</t>
  </si>
  <si>
    <t>Inv. Ventil. A Comb. Bruciatore B</t>
  </si>
  <si>
    <t>30HHL40AA001</t>
  </si>
  <si>
    <t>Valv. Mot. A Comb. Bruciatore C</t>
  </si>
  <si>
    <t>9/A</t>
  </si>
  <si>
    <t>VALVOLA MOTORIZZATA BRUCIATORE C</t>
  </si>
  <si>
    <t>9A</t>
  </si>
  <si>
    <t>VENTILATORE ARIA DI COMBUSTIONE BRUCIATORE ACCENSIONE C</t>
  </si>
  <si>
    <t>5A</t>
  </si>
  <si>
    <t>30HHL40AN001</t>
  </si>
  <si>
    <t>Inv. Ventil. A Comb. Bruciatore C</t>
  </si>
  <si>
    <t>5/A</t>
  </si>
  <si>
    <t>30HHL50AA001</t>
  </si>
  <si>
    <t>Valv. Mot. A Comb. Bruciatore D</t>
  </si>
  <si>
    <t>10/A</t>
  </si>
  <si>
    <t>VALVOLA MOTORIZZATA BRUCIATORE D</t>
  </si>
  <si>
    <t>10A</t>
  </si>
  <si>
    <t>VENTILATORE ARIA DI COMBUSTIONE BRUCIATORE ACCENSIONE D</t>
  </si>
  <si>
    <t>6A</t>
  </si>
  <si>
    <t>30HHL50AN001</t>
  </si>
  <si>
    <t>Inv. Ventil. A Comb. Bruciatore D</t>
  </si>
  <si>
    <t>6/A</t>
  </si>
  <si>
    <t>30HHL70AA001</t>
  </si>
  <si>
    <t>VAPORE DA SH2 - VALVOLA MOTOR. INTERCETTO VAPORE IN INGRESSO</t>
  </si>
  <si>
    <t>13A</t>
  </si>
  <si>
    <t>30HHW08AN001</t>
  </si>
  <si>
    <t>HHW</t>
  </si>
  <si>
    <t>08</t>
  </si>
  <si>
    <t>VENTILATORE ARIA DI SBARRAMENTO PORTINE ISPEZIONE</t>
  </si>
  <si>
    <t>10104.B3.181</t>
  </si>
  <si>
    <t>30HHW20AM001</t>
  </si>
  <si>
    <t>Vent. Aria Tenuta Bruciatore Acc. A</t>
  </si>
  <si>
    <t>11/D</t>
  </si>
  <si>
    <t>VENTILATORE ARIA DI TENUTA BRUCIATORE ACCENSIONE A</t>
  </si>
  <si>
    <t>11D</t>
  </si>
  <si>
    <t>30HHW30AM001</t>
  </si>
  <si>
    <t>Vent. Aria Tenuta Bruciatore Acc. B</t>
  </si>
  <si>
    <t>VENTILATORE ARIA DI TENUTA BRUCIATORE ACCENSIONE B</t>
  </si>
  <si>
    <t>30HHW40AM001</t>
  </si>
  <si>
    <t>Vent. Aria Tenuta Bruciatore Acc. C</t>
  </si>
  <si>
    <t>11/F</t>
  </si>
  <si>
    <t>VENTILATORE ARIA DI TENUTA BRUCIATORE ACCENSIONE C</t>
  </si>
  <si>
    <t>11F</t>
  </si>
  <si>
    <t>30HHW50AM001</t>
  </si>
  <si>
    <t>Vent. Aria Tenuta Bruciatore Acc. D</t>
  </si>
  <si>
    <t>VENTILATORE ARIA DI TENUTA BRUCIATORE ACCENSIONE D</t>
  </si>
  <si>
    <t>pompa idraulica filtro</t>
  </si>
  <si>
    <t>30HHY10GH001</t>
  </si>
  <si>
    <t>HHY</t>
  </si>
  <si>
    <t>ir camera</t>
  </si>
  <si>
    <t>30HHZ01GH001</t>
  </si>
  <si>
    <t>QLOC TRACCIATURA</t>
  </si>
  <si>
    <t>30HLA15AA001</t>
  </si>
  <si>
    <t>HLA</t>
  </si>
  <si>
    <t>attuatore serranda aria primaria scambio presa - fossa/boiler</t>
  </si>
  <si>
    <t>10104.B3.165</t>
  </si>
  <si>
    <t>30HLA15AA003</t>
  </si>
  <si>
    <t>attuatore serranda regolazione ingresso ventilatore aria primaria</t>
  </si>
  <si>
    <t>30HLA20AA001</t>
  </si>
  <si>
    <t>attuatore serranda di by-pass preriscaldo aria primaria</t>
  </si>
  <si>
    <t>30HLA20AA002</t>
  </si>
  <si>
    <t>attuatore serranda ingresso preriscaldo aria primaria</t>
  </si>
  <si>
    <t>30HLA20AA003</t>
  </si>
  <si>
    <t>attuatore serranda uscita preriscaldo aria primaria</t>
  </si>
  <si>
    <t>30HLA30AA001</t>
  </si>
  <si>
    <t>attuatore serranda regolazione ventilatore aria secondaria</t>
  </si>
  <si>
    <t>10104.B3.173</t>
  </si>
  <si>
    <t>30HLA40AA001</t>
  </si>
  <si>
    <t>attuatore doppia serranda presa aria di ricircolo da caldaia</t>
  </si>
  <si>
    <t>10104.B3.174</t>
  </si>
  <si>
    <t>30HLA90AA001</t>
  </si>
  <si>
    <t>SERRANDA MOTORIZZATA ARIA DEODORIZZAZIONE FOSSA</t>
  </si>
  <si>
    <t>3D</t>
  </si>
  <si>
    <t>30HLA91AF001</t>
  </si>
  <si>
    <t>COCLEA ESTRAZIONE FM DEODOR FOSSA RIFIUTI</t>
  </si>
  <si>
    <t>filtro a maniche deorizzazione - coclea estrazione</t>
  </si>
  <si>
    <t>10104.B3.102.4</t>
  </si>
  <si>
    <t>30HLA91AF002</t>
  </si>
  <si>
    <t>Rotocella Scarico Deodor. Fossa Rif.</t>
  </si>
  <si>
    <t>30HLA95AA001</t>
  </si>
  <si>
    <t>Serr. Reg. Ventilatore Fossa Rif.</t>
  </si>
  <si>
    <t>1/A</t>
  </si>
  <si>
    <t>30HLA95AN001</t>
  </si>
  <si>
    <t>95</t>
  </si>
  <si>
    <t>VENTILATORE ARIA DI FOSSA</t>
  </si>
  <si>
    <t>10104.B3.102</t>
  </si>
  <si>
    <t>Ventilatore Aria Fossa Rifiuti</t>
  </si>
  <si>
    <t>Q1</t>
  </si>
  <si>
    <t>30HLB10AN001</t>
  </si>
  <si>
    <t>Ventilatore Aria Primaria</t>
  </si>
  <si>
    <t>Q4</t>
  </si>
  <si>
    <t>30HLB30AN001</t>
  </si>
  <si>
    <t>Ventilatore Aria Secondaria</t>
  </si>
  <si>
    <t>30HLB30GS010</t>
  </si>
  <si>
    <t>HLB</t>
  </si>
  <si>
    <t>INVERTER SECONDARY AIR FAN</t>
  </si>
  <si>
    <t>30HNC10AN001</t>
  </si>
  <si>
    <t>Ventilatore di Coda - ID FAN</t>
  </si>
  <si>
    <t>30HNC10GY001</t>
  </si>
  <si>
    <t>Mot. Aux. Ventilatore Coda - ID FAN</t>
  </si>
  <si>
    <t>Q21</t>
  </si>
  <si>
    <t>HNC</t>
  </si>
  <si>
    <t>MOTORE AUSILIARIO ID FAN</t>
  </si>
  <si>
    <t>30HNF10AA001</t>
  </si>
  <si>
    <t>HNF</t>
  </si>
  <si>
    <t>attuatore doppia serranda presa gas di ricircolo</t>
  </si>
  <si>
    <t>30HNF10AA003</t>
  </si>
  <si>
    <t>attuatore serranda regolazione ventilatore aria ricircolo</t>
  </si>
  <si>
    <t>30HNF10BR001</t>
  </si>
  <si>
    <t>BR</t>
  </si>
  <si>
    <t>riscaldatore condotto aspirazione ventilatore gas ricicolati</t>
  </si>
  <si>
    <t>30HNF11BR001</t>
  </si>
  <si>
    <t>riscaldatore 1 - condotto mandata ventilatore gas ricircolati</t>
  </si>
  <si>
    <t>riscaldatore 2 - condotto mandata ventilatore gas ricircolati</t>
  </si>
  <si>
    <t>riscaldatore 3 - condotto mandata ventilatore gas ricircolati</t>
  </si>
  <si>
    <t>30HNF40AN001</t>
  </si>
  <si>
    <t>Ventilatore Ricircolo Fumi</t>
  </si>
  <si>
    <t>Q35</t>
  </si>
  <si>
    <t>30HNF40GS001</t>
  </si>
  <si>
    <t>ALIMENTAZIONE INVERTER FLUE GAS RICIRCOLO FUMI</t>
  </si>
  <si>
    <t>30HNW10AN001</t>
  </si>
  <si>
    <t>HNW</t>
  </si>
  <si>
    <t>VENTILATORE ARIA TENUTA SU SERRANDA INTERCETTO CONDOTTO GAS DI RICIRCOL</t>
  </si>
  <si>
    <t>30HNW10BR001</t>
  </si>
  <si>
    <t>scaldiglia aria tenuta  - serranda intercetto condotto gas di ricircolo</t>
  </si>
  <si>
    <t>30HNW20AH001</t>
  </si>
  <si>
    <t>RISCALDATORE ARIA TENUTA SERRANDA DI BY-PASS</t>
  </si>
  <si>
    <t>10104.B3.203</t>
  </si>
  <si>
    <t>9H</t>
  </si>
  <si>
    <t>Scald. Aria Tenuta ByPass DeNox</t>
  </si>
  <si>
    <t>9/H</t>
  </si>
  <si>
    <t>30HNW20AN001</t>
  </si>
  <si>
    <t>FF - VENTILATORE ARIA TENUTA SERRANDA BY-PASS</t>
  </si>
  <si>
    <t>Vent. Aria Tenuta ByPass DeNox</t>
  </si>
  <si>
    <t>30HNW41BR002</t>
  </si>
  <si>
    <t>scaldiglia aria tenuta  - serranda regolazione a ventilatore di ricircolo</t>
  </si>
  <si>
    <t>30HNW86BR002</t>
  </si>
  <si>
    <t>86</t>
  </si>
  <si>
    <t>scaldiglia aria tenuta  - serranda regolazione gas di ricircolo parete anteriore</t>
  </si>
  <si>
    <t>30HNW87BR002</t>
  </si>
  <si>
    <t>87</t>
  </si>
  <si>
    <t>scaldiglia aria tenuta  - serranda regolazione gas di ricircolo parete posteriore</t>
  </si>
  <si>
    <t>30HSJ12AP010</t>
  </si>
  <si>
    <t>Pompa Caricamento NH3 1</t>
  </si>
  <si>
    <t>11/H</t>
  </si>
  <si>
    <t>HSJ</t>
  </si>
  <si>
    <t>POMPA CARICO SOLUZIONE NH3</t>
  </si>
  <si>
    <t>10104.B3.208</t>
  </si>
  <si>
    <t>11H</t>
  </si>
  <si>
    <t>30HSJ13AP010</t>
  </si>
  <si>
    <t>Pompa Caricamento NH3 2</t>
  </si>
  <si>
    <t>30HSK12AP010</t>
  </si>
  <si>
    <t>Pompa Rilancio NH3 1</t>
  </si>
  <si>
    <t>HSK</t>
  </si>
  <si>
    <t>POMPA RILANCIO SOLUZIONE NH3 - STAZ. DENOX</t>
  </si>
  <si>
    <t>30HSK13AP010</t>
  </si>
  <si>
    <t>Pompa Rilancio NH3 2</t>
  </si>
  <si>
    <t>12/E</t>
  </si>
  <si>
    <t>30HSN10AP010</t>
  </si>
  <si>
    <t>HSN</t>
  </si>
  <si>
    <t>POMPA DI SENTINA  STOCCAGGIO SOLUZIONE AMMONIACALE</t>
  </si>
  <si>
    <t>11G</t>
  </si>
  <si>
    <t>Pompa Vasca Dreni Soluz. NH3</t>
  </si>
  <si>
    <t>11/G</t>
  </si>
  <si>
    <t>30HTE10GH010</t>
  </si>
  <si>
    <t>Qloc. Tracciatura FM 1</t>
  </si>
  <si>
    <t>30HTE20GH010</t>
  </si>
  <si>
    <t>Qloc. Tracciatura FM 2</t>
  </si>
  <si>
    <t>30HTJ10AN010</t>
  </si>
  <si>
    <t>HTJ</t>
  </si>
  <si>
    <t xml:space="preserve">VENTILATORE FILTRO SILO 1 CALCE IDRATA </t>
  </si>
  <si>
    <t>10104.B3.205</t>
  </si>
  <si>
    <t>30HTJ10GH001</t>
  </si>
  <si>
    <t>Filtro Silos 1 Calce Idrata</t>
  </si>
  <si>
    <t>4/B</t>
  </si>
  <si>
    <t>QUADRETTO SILO 1 CALCE IDRATA</t>
  </si>
  <si>
    <t>4B</t>
  </si>
  <si>
    <t>30HTJ11AF010</t>
  </si>
  <si>
    <t>CALCE IDRATA 1 - COCLEA DI SCARICO CALCE IDRATA 1</t>
  </si>
  <si>
    <t>10D</t>
  </si>
  <si>
    <t>Coclea Estraz. Calce Silos A</t>
  </si>
  <si>
    <t>10/D</t>
  </si>
  <si>
    <t>30HTJ12AF010</t>
  </si>
  <si>
    <t xml:space="preserve"> -  CALCE IDRATA 1 - DOSING SCREW COOLING FAN MOTOR</t>
  </si>
  <si>
    <t>CALCE IDRATA 1 - DOSING SCREW</t>
  </si>
  <si>
    <t>4F</t>
  </si>
  <si>
    <t>Coclea Calce Idrata 1</t>
  </si>
  <si>
    <t>30HTJ12AF011</t>
  </si>
  <si>
    <t>Dosatore Calce Linea A</t>
  </si>
  <si>
    <t>ROTOCELLA TRASPORTO - CALCE IDRATA LINEA A</t>
  </si>
  <si>
    <t>30HTJ12AM010</t>
  </si>
  <si>
    <t>CALCE IDRATA 1 - MIXER</t>
  </si>
  <si>
    <t>Misc. Tramoggia Dos. Calce Linea A</t>
  </si>
  <si>
    <t>1/C</t>
  </si>
  <si>
    <t>30HTJ13AN010</t>
  </si>
  <si>
    <t xml:space="preserve">VENTILATORE FILTRO SILO 2 CALCE IDRATA </t>
  </si>
  <si>
    <t>30HTJ13GH001</t>
  </si>
  <si>
    <t>Filtro Silos 2 Calce Idrata</t>
  </si>
  <si>
    <t>30HTJ13GH010</t>
  </si>
  <si>
    <t>QUADRETTO SILO 2 CALCE IDRATA</t>
  </si>
  <si>
    <t>30HTJ14AF010</t>
  </si>
  <si>
    <t>CALCE IDRATA 2 - COCLEA DI SCARICO CALCE IDRATA 2</t>
  </si>
  <si>
    <t>Coclea Estraz. Calce Silos B</t>
  </si>
  <si>
    <t>30HTJ15AF010</t>
  </si>
  <si>
    <t>CALCE IDRATA 2 - DOSING SCREW</t>
  </si>
  <si>
    <t>5F</t>
  </si>
  <si>
    <t>CALCE IDRATA 2 - MIXER</t>
  </si>
  <si>
    <t>Coclea Calce Idrata 2</t>
  </si>
  <si>
    <t>5/F</t>
  </si>
  <si>
    <t>30HTJ15AF011</t>
  </si>
  <si>
    <t>Dosatore Calce Linea B</t>
  </si>
  <si>
    <t>ROTOCELLA TRASPORTO - CALCE IDRATA LINEA B</t>
  </si>
  <si>
    <t>30HTJ15AM010</t>
  </si>
  <si>
    <t xml:space="preserve"> -  CALCE IDRATA 2  - DOSING SCREW COOLING FAN MOTOR</t>
  </si>
  <si>
    <t>Misc. Tramoggia Dos. Calce Linea B</t>
  </si>
  <si>
    <t>30HTJ20AN001</t>
  </si>
  <si>
    <t>VENTILATORE FILTRO SILO CARBONI ATTIVI</t>
  </si>
  <si>
    <t>10104.B3.211</t>
  </si>
  <si>
    <t>30HTJ20GH001</t>
  </si>
  <si>
    <t>Filtro Sfiato Silos Carboni</t>
  </si>
  <si>
    <t>5/B</t>
  </si>
  <si>
    <t>QUADRETTO FILTRO SILO CARBONI ATTIVI</t>
  </si>
  <si>
    <t>5B</t>
  </si>
  <si>
    <t>30HTJ21AF010</t>
  </si>
  <si>
    <t>Coclea Estraz. Silos Carb. Linea A</t>
  </si>
  <si>
    <t xml:space="preserve">DOSAGGIO CARBONI ATTIVI 1 - COCLEA DI SCARICO DA SILO </t>
  </si>
  <si>
    <t>30HTJ22AF010</t>
  </si>
  <si>
    <t xml:space="preserve"> - DOSAGGIO CARBONI ATTIVI 1 - DOSING SCREW COOLING FAN MOTOR </t>
  </si>
  <si>
    <t>Coclea Carboni 1</t>
  </si>
  <si>
    <t>2/F</t>
  </si>
  <si>
    <t xml:space="preserve">DOSAGGIO CARBONI ATTIVI 1 - DOSING SCREW </t>
  </si>
  <si>
    <t>30HTJ22AF011</t>
  </si>
  <si>
    <t>Dosat. Carboni Linea A</t>
  </si>
  <si>
    <t>3/C</t>
  </si>
  <si>
    <t>ROTOCELLA TRASPORTO - CARBONI ATTIVI LINEA A</t>
  </si>
  <si>
    <t>30HTJ22AM010</t>
  </si>
  <si>
    <t xml:space="preserve">DOSAGGIO CARBONI ATTIVI 1 - MIXER </t>
  </si>
  <si>
    <t>Misc. Tram. Dosaggio Car. Linea A</t>
  </si>
  <si>
    <t>30HTJ23AF010</t>
  </si>
  <si>
    <t>Coclea Estraz. Silos Carb. Linea B</t>
  </si>
  <si>
    <t>3/D</t>
  </si>
  <si>
    <t>30HTJ24AF010</t>
  </si>
  <si>
    <t>24</t>
  </si>
  <si>
    <t xml:space="preserve"> - DOSAGGIO CARBONI ATTIVI 2 - DOSING SCREW COOLING FAN MOTOR </t>
  </si>
  <si>
    <t>Coclea Carboni 2</t>
  </si>
  <si>
    <t xml:space="preserve">DOSAGGIO CARBONI ATTIVI 2 - DOSING SCREW </t>
  </si>
  <si>
    <t>30HTJ24AF011</t>
  </si>
  <si>
    <t>Dosat. Carboni Linea B</t>
  </si>
  <si>
    <t>4/C</t>
  </si>
  <si>
    <t>ROTOCELLA TRASPORTO - CARBONI ATTIVI LINEA B</t>
  </si>
  <si>
    <t>4C</t>
  </si>
  <si>
    <t>30HTJ24AM010</t>
  </si>
  <si>
    <t xml:space="preserve">DOSAGGIO CARBONI ATTIVI 2 - MIXER </t>
  </si>
  <si>
    <t>Misc. Tram. Dosaggio Car. Linea B</t>
  </si>
  <si>
    <t>30HTJ25AF011</t>
  </si>
  <si>
    <t xml:space="preserve">DOSAGGIO CARBONI ATTIVI 1 - ROTARY VALVE </t>
  </si>
  <si>
    <t>10104.B3.207</t>
  </si>
  <si>
    <t>Dosatore Carboni in Linea A</t>
  </si>
  <si>
    <t>30HTJ27AF011</t>
  </si>
  <si>
    <t>27</t>
  </si>
  <si>
    <t xml:space="preserve">DOSAGGIO CARBONI ATTIVI 2 - ROTARY VALVE </t>
  </si>
  <si>
    <t>Dosatore Carboni in Linea B</t>
  </si>
  <si>
    <t>30HTJ31AF010</t>
  </si>
  <si>
    <t>Coclea Dosaggio Ricircolo PCR</t>
  </si>
  <si>
    <t>RICIRCOLO PCR 1 -COCLEA DI DOSAGGIO</t>
  </si>
  <si>
    <t>30HTJ32AF010</t>
  </si>
  <si>
    <t>Dosaggio PCR in Linea A</t>
  </si>
  <si>
    <t>RICIRCOLO PCR 1 -ROTOCELLA</t>
  </si>
  <si>
    <t>30HTJ34AF010</t>
  </si>
  <si>
    <t>Dosaggio PCR in Linea B</t>
  </si>
  <si>
    <t>34</t>
  </si>
  <si>
    <t>RICIRCOLO PCR 2 -ROTOCELLA</t>
  </si>
  <si>
    <t>30HTJ40AF001</t>
  </si>
  <si>
    <t>SILO BICARBONATO - FONDO VIBRANTE - MOTORE 1</t>
  </si>
  <si>
    <t>SILO BICARBONATO - FONDO VIBRANTE - MOTORE 2</t>
  </si>
  <si>
    <t>Vibr. Uscita Silos Bicarbonato 1</t>
  </si>
  <si>
    <t>30HTJ40AN001</t>
  </si>
  <si>
    <t>VENTILATORE FILTRO SILO BICARBONATO</t>
  </si>
  <si>
    <t>30HTJ40GH005</t>
  </si>
  <si>
    <t>Filtro Sfiato Silos Bicarbonato</t>
  </si>
  <si>
    <t>QUADRETTO FILTRO SILO BICARBONATO</t>
  </si>
  <si>
    <t>30HTJ41AF010</t>
  </si>
  <si>
    <t>Coclea Estraz. Bicarbonato Linea A</t>
  </si>
  <si>
    <t>SILO BICARBONATO - COCLEA ESTRAZIONE BICARBONATO A</t>
  </si>
  <si>
    <t>30HTJ42AF010</t>
  </si>
  <si>
    <t>Coclea Estraz. Bicarbonato Linea B</t>
  </si>
  <si>
    <t>30HTJ42AP010</t>
  </si>
  <si>
    <t>SILO BICARBONATO - COCLEA ESTRAZIONE BICARBONATO B</t>
  </si>
  <si>
    <t>30HTK10AN001</t>
  </si>
  <si>
    <t>Soffian. Traspor Reag. Linea A</t>
  </si>
  <si>
    <t>HTK</t>
  </si>
  <si>
    <t>SOFFIANTE TRASPORTO REAGENTI - LINEA A</t>
  </si>
  <si>
    <t>30HTK10AN002</t>
  </si>
  <si>
    <t>SOFFIANTE TRASPORTO REAGENTI - FAN - LINEA A</t>
  </si>
  <si>
    <t>Vent. Soffian. Traspor Reag. Linea A</t>
  </si>
  <si>
    <t>30HTK11AH002</t>
  </si>
  <si>
    <t>SOFFIANTE TRASPORTO REAGENTI - FAN - LINEA B</t>
  </si>
  <si>
    <t>30HTK11AN001</t>
  </si>
  <si>
    <t>Soffian. Traspor Reag. Linea B</t>
  </si>
  <si>
    <t>7/H</t>
  </si>
  <si>
    <t>SOFFIANTE TRASPORTO REAGENTI - LINEA B</t>
  </si>
  <si>
    <t>7H</t>
  </si>
  <si>
    <t>30HTK11AN002</t>
  </si>
  <si>
    <t>Vent. Soffian. Traspor Reag. Linea B</t>
  </si>
  <si>
    <t>30HTK14AH001</t>
  </si>
  <si>
    <t>BATTERIA DI RISCALDAMENTO ARIA TRASPORTO LINEA A</t>
  </si>
  <si>
    <t>Riscald. Aria Soff. Reagent. Linea A</t>
  </si>
  <si>
    <t>30HTK14AH002</t>
  </si>
  <si>
    <t>30HTK14AH003</t>
  </si>
  <si>
    <t>30HTK15AH001</t>
  </si>
  <si>
    <t>BATTERIA DI RISCALDAMENTO ARIA TRASPORTO LINEA B</t>
  </si>
  <si>
    <t>Riscald. Aria Soff. Reagent. Linea B</t>
  </si>
  <si>
    <t>30HTK15AH002</t>
  </si>
  <si>
    <t>30HTK15AH003</t>
  </si>
  <si>
    <t>30HTK30AN001</t>
  </si>
  <si>
    <t>RICIRCOLO PCR 1 -SOFFIANTE DI TRASPORTO REAGENTI</t>
  </si>
  <si>
    <t>3H</t>
  </si>
  <si>
    <t>Soffiante Trasport. PCR Linea A</t>
  </si>
  <si>
    <t>3/H</t>
  </si>
  <si>
    <t>SOFFIANTE TRASPORTO PCR LINEA A</t>
  </si>
  <si>
    <t>30HTK30AN002</t>
  </si>
  <si>
    <t>RICIRCOLO PCR 1 -VENTOLA DI RAFFERDDAMENTO</t>
  </si>
  <si>
    <t>Vent. Soff. Trasporto PCR Linea A</t>
  </si>
  <si>
    <t>30HTK31AN001</t>
  </si>
  <si>
    <t>RICIRCOLO PCR 2 -SOFFIANTE DI TRASPORTO REAGENTI</t>
  </si>
  <si>
    <t>4H</t>
  </si>
  <si>
    <t>Soffiante Trasport. PCR Linea B</t>
  </si>
  <si>
    <t>4/H</t>
  </si>
  <si>
    <t>30HTK31AN002</t>
  </si>
  <si>
    <t>RICIRCOLO PCR 2 -VENTOLA DI RAFFERDDAMENTO</t>
  </si>
  <si>
    <t>Vent. Soff. Trasporto PCR Linea B</t>
  </si>
  <si>
    <t>30HTK34AH001</t>
  </si>
  <si>
    <t>PCR 1 - BATTERIA DI RISCALDAMENTO ARIA TRASPORTO PCR 1</t>
  </si>
  <si>
    <t>Riscaldatore Aria Soff. PCR Linea A</t>
  </si>
  <si>
    <t>2/A</t>
  </si>
  <si>
    <t>30HTK34AH002</t>
  </si>
  <si>
    <t>PCR 1 - BATTERIA DI RISCALDAMENTO ARIA TRASPORTO PCR 2</t>
  </si>
  <si>
    <t>30HTK34AH003</t>
  </si>
  <si>
    <t>PCR 1 - BATTERIA DI RISCALDAMENTO ARIA TRASPORTO PCR 3</t>
  </si>
  <si>
    <t>30HTK35AH001</t>
  </si>
  <si>
    <t>PCR 2 - BATTERIA DI RISCALDAMENTO ARIA TRASPORTO PCR 1</t>
  </si>
  <si>
    <t>Riscaldatore Aria Soff. PCR Linea B</t>
  </si>
  <si>
    <t>30HTK35AH002</t>
  </si>
  <si>
    <t>PCR 2 - BATTERIA DI RISCALDAMENTO ARIA TRASPORTO PCR 2</t>
  </si>
  <si>
    <t>30HTK35AH003</t>
  </si>
  <si>
    <t>PCR 2 - BATTERIA DI RISCALDAMENTO ARIA TRASPORTO PCR 3</t>
  </si>
  <si>
    <t>30HTK41GH010</t>
  </si>
  <si>
    <t>MULINO BICARBONATO A - QUADRO LOCALE</t>
  </si>
  <si>
    <t>Qloc. Mulino Bicarbonato Linea A</t>
  </si>
  <si>
    <t>30HTK42GH010</t>
  </si>
  <si>
    <t>Qloc. Mulino Bicarbonato Linea B</t>
  </si>
  <si>
    <t>30LAB10AA020</t>
  </si>
  <si>
    <t>LAB</t>
  </si>
  <si>
    <t>MCC4</t>
  </si>
  <si>
    <t>VALVOLA MOTORIZZATA MANDATA POMPA ALIMENTO 1</t>
  </si>
  <si>
    <t>10104.B3.232.6</t>
  </si>
  <si>
    <t>30LAB16AA011</t>
  </si>
  <si>
    <t>16</t>
  </si>
  <si>
    <t>VALVOLA MOTORIZZATA INGRESSO POMPA A VUOTO 2</t>
  </si>
  <si>
    <t>10104.B3.231.6</t>
  </si>
  <si>
    <t>30LAB20AA020</t>
  </si>
  <si>
    <t>VALVOLA MOTORIZZATA MANDATA POMPA ALIMENTO 2</t>
  </si>
  <si>
    <t>30LAB30AA020</t>
  </si>
  <si>
    <t>Valv. Mot. Mand. Turbo Pompa H2O</t>
  </si>
  <si>
    <t xml:space="preserve">VALVOLA MOTORIZZATA MANDATA TURBOPOMPA ALIMENTO </t>
  </si>
  <si>
    <t>30LAC10AP010</t>
  </si>
  <si>
    <t>Pompa Acqua Alimento 1</t>
  </si>
  <si>
    <t>30LAC20AP010</t>
  </si>
  <si>
    <t>Pompa Acqua Alimento 2</t>
  </si>
  <si>
    <t>Q3</t>
  </si>
  <si>
    <t>30LAE50AA001</t>
  </si>
  <si>
    <t>LAE</t>
  </si>
  <si>
    <t>VALVOLA INTERCETTAZIONE ACQUA DI ATTEMPERAMENTO DSH 1-2</t>
  </si>
  <si>
    <t>10104.B3.133</t>
  </si>
  <si>
    <t>30LAE50AA002</t>
  </si>
  <si>
    <t>Valv. Mot. Interc. H2O Attem. SH1</t>
  </si>
  <si>
    <t>2/B</t>
  </si>
  <si>
    <t>30LAE60AA002</t>
  </si>
  <si>
    <t>Valv. Mot. Interc. H2O Attem. SH2</t>
  </si>
  <si>
    <t>VALVOLA INTERCETTAZIONE ACQUA DI ATTEMPERAMENTO DSH 2-3</t>
  </si>
  <si>
    <t>30LAE70AA002</t>
  </si>
  <si>
    <t>Valv. Mot. Interc. H2O Attem. SH3</t>
  </si>
  <si>
    <t>VALVOLA INTERCETTAZIONE ACQUA DI ATTEMPERAMENTO DSH 3-4</t>
  </si>
  <si>
    <t>30LBA10AA001</t>
  </si>
  <si>
    <t>Valv. Mot. Stop. Vap. SH Uscita C.C.</t>
  </si>
  <si>
    <t>LBA</t>
  </si>
  <si>
    <t>VALVOLA INTERCETTAZIONE VAPORE USCITA CALDAIA</t>
  </si>
  <si>
    <t>30LBA10AA002</t>
  </si>
  <si>
    <t>Valv. Mot. ByPass Vap. SH Uscita C.C.</t>
  </si>
  <si>
    <t>VALVOLA INTERCETTAZIONE BY-PASS VAPORE USCITA CALDAIA</t>
  </si>
  <si>
    <t>30LBA10AA020</t>
  </si>
  <si>
    <t>Valv. Mot. Mand. Pompa Alim. 1</t>
  </si>
  <si>
    <t>30LBA20AA020</t>
  </si>
  <si>
    <t>Valv. Mot. Mand. Pompa Alim. 2</t>
  </si>
  <si>
    <t>30LBA30AA010</t>
  </si>
  <si>
    <t>Valv. Mot. Interc. Turbina</t>
  </si>
  <si>
    <t xml:space="preserve">VALVOLA MOTORIZZATA INGRESSO TURBINA A VAPORE </t>
  </si>
  <si>
    <t>10104.B3.230.7</t>
  </si>
  <si>
    <t>30LBA30AA511</t>
  </si>
  <si>
    <t>Valv. Mot. Sfiato Start Up Turbina</t>
  </si>
  <si>
    <t>511</t>
  </si>
  <si>
    <t>VALVOLA MOTORIZZATA SFIATO DI START UP</t>
  </si>
  <si>
    <t>30LBA40AA010</t>
  </si>
  <si>
    <t>Valv. Mot. Interc. ByPass Turbina</t>
  </si>
  <si>
    <t>VALVOLA MOTORIZZATA INGRESSO  STAZIONE BY-PASS TURBINA</t>
  </si>
  <si>
    <t>30LBA50AA010</t>
  </si>
  <si>
    <t>Valv. Mot. Interc. Vapore MP</t>
  </si>
  <si>
    <t>VALVOLA MOTORIZZATA INGRESSO  STAZIONE RIDUZIONE MP</t>
  </si>
  <si>
    <t>30LBA60AA010</t>
  </si>
  <si>
    <t>Valv. Mot. Interc. Vapore BP</t>
  </si>
  <si>
    <t>VALVOLA MOTORIZZATA INGRESSO  STAZIONE RIDUZIONE BP</t>
  </si>
  <si>
    <t>30LBA70AA012</t>
  </si>
  <si>
    <t>Valv. Mot. Vapore Turbo Pompa</t>
  </si>
  <si>
    <t>VALVOLA MOTORIZZATA VAPORE VIVO A TURBOPOMPA</t>
  </si>
  <si>
    <t>30LBG80AA002</t>
  </si>
  <si>
    <t>Valv. Mot. Interc. Vap. Sat. Risc. Fumi</t>
  </si>
  <si>
    <t>30LCA70AA110</t>
  </si>
  <si>
    <t>Valv. Reg. Temp. Uscita Scam. DeNox</t>
  </si>
  <si>
    <t>LCA</t>
  </si>
  <si>
    <t>110</t>
  </si>
  <si>
    <t>VALVOLA MOTORIZZATA CONDENSE SCAMBIATORE TEFLONATO</t>
  </si>
  <si>
    <t>30LCB10AP010</t>
  </si>
  <si>
    <t>PEC 1</t>
  </si>
  <si>
    <t>30LCB10GS010</t>
  </si>
  <si>
    <t>LCB</t>
  </si>
  <si>
    <t>ALIMENTAZIONE INVERTER POMPA 1 ESTRAZIONE CONDENSATO</t>
  </si>
  <si>
    <t>10104.B3.231</t>
  </si>
  <si>
    <t>13.4.</t>
  </si>
  <si>
    <t xml:space="preserve"> + MOTORE AN</t>
  </si>
  <si>
    <t>30LCB20AP010</t>
  </si>
  <si>
    <t>PEC 2</t>
  </si>
  <si>
    <t>30LCB20GS010</t>
  </si>
  <si>
    <t>ALIMENTAZIONE INVERTER POMPA 2 ESTRAZIONE CONDENSATO</t>
  </si>
  <si>
    <t>14.2</t>
  </si>
  <si>
    <t>POMPA ESTRAZIONE CONDENSATO 1</t>
  </si>
  <si>
    <t>POMPA ESTRAZIONE CONDENSATO 2</t>
  </si>
  <si>
    <t>30LCM23AP001</t>
  </si>
  <si>
    <t>LCM</t>
  </si>
  <si>
    <t>POMPA A RILANCIO DRENI SOTTOVUOTO</t>
  </si>
  <si>
    <t>10104.B3.234.5</t>
  </si>
  <si>
    <t>Pompa Dreni Sottovuoto 1</t>
  </si>
  <si>
    <t>30LCM24AP001</t>
  </si>
  <si>
    <t>POMPA B RILANCIO DRENI SOTTOVUOTO</t>
  </si>
  <si>
    <t>6C</t>
  </si>
  <si>
    <t>Pompa Dreni Sottovuoto 2</t>
  </si>
  <si>
    <t>6/C</t>
  </si>
  <si>
    <t>30LFN10AM001</t>
  </si>
  <si>
    <t>Agit. Serb. Deossigen.</t>
  </si>
  <si>
    <t>17/B</t>
  </si>
  <si>
    <t>30LFN20AP001</t>
  </si>
  <si>
    <t>Inv. Pompa Dosatrice Deossig. 1</t>
  </si>
  <si>
    <t>15/G</t>
  </si>
  <si>
    <t>30LFN30AP001</t>
  </si>
  <si>
    <t>Inv. Pompa Dosatrice Deossig. 2</t>
  </si>
  <si>
    <t>14/G</t>
  </si>
  <si>
    <t>30LFN40AM001</t>
  </si>
  <si>
    <t>Agit. Serb. Alcalina</t>
  </si>
  <si>
    <t>SISTEMA DOSAGGIO CHIMICO - AGITATORE ALCALINIZZANTE</t>
  </si>
  <si>
    <t>30LFN50AP001</t>
  </si>
  <si>
    <t>Inv. Pompa Dosatrice Alcalin. 1</t>
  </si>
  <si>
    <t>30LFN60AP001</t>
  </si>
  <si>
    <t>Inv. Pompa Dosatrice Alcalin. 2</t>
  </si>
  <si>
    <t>SISTEMA DOSAGGIO CHIMICO POMPA DOSATRICE ALCALINIZZANTE - 2</t>
  </si>
  <si>
    <t>30LGB80AA002</t>
  </si>
  <si>
    <t>LGB</t>
  </si>
  <si>
    <t>VALVOLA PRERISCALDO FUMI</t>
  </si>
  <si>
    <t>10104.B3.132</t>
  </si>
  <si>
    <t>30MAJ10AP010</t>
  </si>
  <si>
    <t>MAJ</t>
  </si>
  <si>
    <t>POMPA A VUOTO</t>
  </si>
  <si>
    <t>Pompa Vuoto 1</t>
  </si>
  <si>
    <t>2/H</t>
  </si>
  <si>
    <t>30MAJ20AP010</t>
  </si>
  <si>
    <t>Pompa Vuoto 2</t>
  </si>
  <si>
    <t>30MAK10AE001</t>
  </si>
  <si>
    <t>MAK</t>
  </si>
  <si>
    <t>AE</t>
  </si>
  <si>
    <t>VIRATORE TURBINA</t>
  </si>
  <si>
    <t>10104.B3.252</t>
  </si>
  <si>
    <t>30MAV10AH001</t>
  </si>
  <si>
    <t>Risc. Elettrico AH001 Serb. Olio Lubri.</t>
  </si>
  <si>
    <t>4/G</t>
  </si>
  <si>
    <t>MAV</t>
  </si>
  <si>
    <t>RISC. ELETTRICO AH001 SERBATOIO OLIO LUBRIFICAZIONE</t>
  </si>
  <si>
    <t>10104.B3.251</t>
  </si>
  <si>
    <t>30MAV10AH002</t>
  </si>
  <si>
    <t>Risc. Elettrico AH002 Serb. Olio Lubri.</t>
  </si>
  <si>
    <t>RISC. ELETTRICO AH002 SERBATOIO OLIO LUBRIFICAZIONE</t>
  </si>
  <si>
    <t>30MAV10AN001</t>
  </si>
  <si>
    <t>Vent. A Estrazione Vapori Olio</t>
  </si>
  <si>
    <t>VENTILATORE A ESTRAZIONE VAPORI OLIO</t>
  </si>
  <si>
    <t>30MAV10AN002</t>
  </si>
  <si>
    <t>Vent. B Estrazione Vapori Olio</t>
  </si>
  <si>
    <t>VENTILATORE B ESTRAZIONE VAPORI OLIO</t>
  </si>
  <si>
    <t>30MAV11AP001</t>
  </si>
  <si>
    <t>Pompa Ausiliaria Olio Lubrific. Turbina</t>
  </si>
  <si>
    <t>POMPA AUSILIARIA OLIO LUBRIFICAZIONE TURBINA</t>
  </si>
  <si>
    <t>30MAV70AP001</t>
  </si>
  <si>
    <t>TURBINA - POMPA 1 OLIO SOLLEVAMENTO ROTORE</t>
  </si>
  <si>
    <t>Turbina Pompa 1 Olio Sollev. Rotore</t>
  </si>
  <si>
    <t>30MAV71AP001</t>
  </si>
  <si>
    <t>Gen. Pompa Olio Sollevam. Rotore</t>
  </si>
  <si>
    <t>71</t>
  </si>
  <si>
    <t>GENERATORE - POMPA OLIO SOLLEVAMENTO ROTORE DE</t>
  </si>
  <si>
    <t>10104.B3.255</t>
  </si>
  <si>
    <t>30MAW30AN001</t>
  </si>
  <si>
    <t>MAW</t>
  </si>
  <si>
    <t>ESTRATTORE A VAPORE TENUTE</t>
  </si>
  <si>
    <t>10104.B3.250</t>
  </si>
  <si>
    <t>Estrattore A Vapore Tenute</t>
  </si>
  <si>
    <t>30MAW30AN002</t>
  </si>
  <si>
    <t>ESTRATTORE B VAPORE TENUTE</t>
  </si>
  <si>
    <t>Estrattore B Vapore Tenute</t>
  </si>
  <si>
    <t>30MAX10AE001</t>
  </si>
  <si>
    <t>Viratore Turbina</t>
  </si>
  <si>
    <t>30MAX10AH001</t>
  </si>
  <si>
    <t>MAX</t>
  </si>
  <si>
    <t xml:space="preserve">RISCALDATORE DERBATOIO OLIO DI CONTROLLO </t>
  </si>
  <si>
    <t>10104.B3.253</t>
  </si>
  <si>
    <t>Riscaldatore Serbatoio Olio Controllo</t>
  </si>
  <si>
    <t>30MAX10AP001</t>
  </si>
  <si>
    <t>POMPA A OLIO DI CONTROLLO</t>
  </si>
  <si>
    <t>Pompa Olio Controllo</t>
  </si>
  <si>
    <t>30MAX10AP002</t>
  </si>
  <si>
    <t>Pompa B Olio Controllo  ( Riserva )</t>
  </si>
  <si>
    <t>POMPA B OLIO DI CONTROLLO (RISERVA)</t>
  </si>
  <si>
    <t>30MAX90AP002</t>
  </si>
  <si>
    <t>ELETTROPOMPA OLIO SISTEMA VAPORE TURBOPOMPA ALIMENTO</t>
  </si>
  <si>
    <t>10104.B3.235.5</t>
  </si>
  <si>
    <t>Elettropompa Olio Turbo Pompa H2O</t>
  </si>
  <si>
    <t>30MKA10AH001</t>
  </si>
  <si>
    <t>MKA</t>
  </si>
  <si>
    <t>RISCALDATORE GENERALE (AH001/002/003) - JB</t>
  </si>
  <si>
    <t>Riscaldatore Generatore ( AH001/2/3 )</t>
  </si>
  <si>
    <t>30NAJ20AP010</t>
  </si>
  <si>
    <t>NAJ</t>
  </si>
  <si>
    <t>POMPA B VUOTO</t>
  </si>
  <si>
    <t>30PAB16AA010</t>
  </si>
  <si>
    <t>Valv. Mot. H2O Azion. Pompa Vuoto 1</t>
  </si>
  <si>
    <t>PAB</t>
  </si>
  <si>
    <t>VALVOLA MOTORIZZATA INGRESSO POMPA A VUOTO 1</t>
  </si>
  <si>
    <t>30PAB16AA011</t>
  </si>
  <si>
    <t>Valv. Mot. H2O Azion. Pompa Vuoto 2</t>
  </si>
  <si>
    <t>30PAB21AA010</t>
  </si>
  <si>
    <t>Valv. Uscita Cella 1 Torre Raffred.</t>
  </si>
  <si>
    <t>VALVOLA MOTORIZZATA USCITA - CELLA 1 - TORRE RAFFREDDAMENTO</t>
  </si>
  <si>
    <t>30PAB22AA010</t>
  </si>
  <si>
    <t>VALVOLA MOTORIZZATA USCITA - CELLA 2 - TORRE RAFFREDDAMENTO</t>
  </si>
  <si>
    <t>30PAB23AA010</t>
  </si>
  <si>
    <t>VALVOLA MOTORIZZATA USCITA - CELLA 3 - TORRE RAFFREDDAMENTO</t>
  </si>
  <si>
    <t>6E</t>
  </si>
  <si>
    <t>30PAB24AA010</t>
  </si>
  <si>
    <t>Valv. Uscita Cella 4 Torre Raffred.</t>
  </si>
  <si>
    <t>VALVOLA MOTORIZZATA USCITA - CELLA 4 - TORRE RAFFREDDAMENTO</t>
  </si>
  <si>
    <t>30PAC01AP001</t>
  </si>
  <si>
    <t>Pompa H2O Torre</t>
  </si>
  <si>
    <t>1.1</t>
  </si>
  <si>
    <t>30PAC01GS001</t>
  </si>
  <si>
    <t>PAC</t>
  </si>
  <si>
    <t>INVERTER POMPA CIRCOLAZIONE ACQUA DI TORRE 1</t>
  </si>
  <si>
    <t>10104.B3.300</t>
  </si>
  <si>
    <t>30PAC02AP001</t>
  </si>
  <si>
    <t>7.1</t>
  </si>
  <si>
    <t>Q20</t>
  </si>
  <si>
    <t>30PAC02GS001</t>
  </si>
  <si>
    <t>INVERTER POMPA CIRCOLAZIONE ACQUA DI TORRE 3</t>
  </si>
  <si>
    <t>30PAC03AP001</t>
  </si>
  <si>
    <t>30PAC03GS001</t>
  </si>
  <si>
    <t>03</t>
  </si>
  <si>
    <t>INVERTER POMPA CIRCOLAZIONE ACQUA DI TORRE 2</t>
  </si>
  <si>
    <t>30PAD01AN001</t>
  </si>
  <si>
    <t>Vent. Raffred. Torre 1</t>
  </si>
  <si>
    <t>Q29</t>
  </si>
  <si>
    <t>30PAD01GS001</t>
  </si>
  <si>
    <t>PAD</t>
  </si>
  <si>
    <t>ALIMENTAZIONE INVERTER VENTILAZIONE 1 TORRE RAFFREDDAMENTO</t>
  </si>
  <si>
    <t>10.3</t>
  </si>
  <si>
    <t>30PAD02AN001</t>
  </si>
  <si>
    <t>Vent. Raffred. Torre 2</t>
  </si>
  <si>
    <t>Q30</t>
  </si>
  <si>
    <t>30PAD02GS001</t>
  </si>
  <si>
    <t>ALIMENTAZIONE INVERTER VENTILAZIONE 2 TORRE RAFFREDDAMENTO</t>
  </si>
  <si>
    <t>11.3</t>
  </si>
  <si>
    <t>30PAD03AN001</t>
  </si>
  <si>
    <t>Vent. Raffred. Torre 3</t>
  </si>
  <si>
    <t>30PAD03GS001</t>
  </si>
  <si>
    <t>ALIMENTAZIONE INVERTER VENTILAZIONE 3 TORRE RAFFREDDAMENTO</t>
  </si>
  <si>
    <t>12.3</t>
  </si>
  <si>
    <t>30PAD04AN001</t>
  </si>
  <si>
    <t>Vent. Raffred. Torre 4</t>
  </si>
  <si>
    <t>Q32</t>
  </si>
  <si>
    <t>30PAD04GS001</t>
  </si>
  <si>
    <t>04</t>
  </si>
  <si>
    <t>ALIMENTAZIONE INVERTER VENTILAZIONE 4 TORRE RAFFREDDAMENTO</t>
  </si>
  <si>
    <t>13.3</t>
  </si>
  <si>
    <t>30PAD50GH010</t>
  </si>
  <si>
    <t>QLOC POTENZA CONTR REATTORE TORRE</t>
  </si>
  <si>
    <t>Qloc. Potenza Control. Reatt. Torre</t>
  </si>
  <si>
    <t>30PAD50GH011</t>
  </si>
  <si>
    <t>30PAE01AA010</t>
  </si>
  <si>
    <t>Valv. Motor. Mand. Pompa Booster 1</t>
  </si>
  <si>
    <t>PAE</t>
  </si>
  <si>
    <t>VALVOLA MOTORIZZATA USCITA POMPA BOOSTER 1</t>
  </si>
  <si>
    <t>30PAE01AA021</t>
  </si>
  <si>
    <t>TORRE RAFFREDDAMENTO - CELLA 1 - SERRANDA MOTORIZZATA - 1</t>
  </si>
  <si>
    <t>Valv. Mot. Cella 1 Torre Raffred.</t>
  </si>
  <si>
    <t>30PAE01AA022</t>
  </si>
  <si>
    <t>TORRE RAFFREDDAMENTO - CELLA 1 - SERRANDA MOTORIZZATA - 2</t>
  </si>
  <si>
    <t>30PAE01AA501</t>
  </si>
  <si>
    <t>Valv. Vent. Cella 1 Torre Raffred.</t>
  </si>
  <si>
    <t>VALVOLA MOTORIZZATA VENT - CELLA 1 - TORRE RAFFREDDAMENTO</t>
  </si>
  <si>
    <t>30PAE01AP001</t>
  </si>
  <si>
    <t>POMPA BOOSTER ACQUA DI RAFFREDDAMENTO 1</t>
  </si>
  <si>
    <t>Pompa Booster Cella 1 Torre Raffred.</t>
  </si>
  <si>
    <t>30PAE02AA010</t>
  </si>
  <si>
    <t>Valv. Motor. Mand. Pompa Booster 2</t>
  </si>
  <si>
    <t>VALVOLA MOTORIZZATA USCITA POMPA BOOSTER 2</t>
  </si>
  <si>
    <t>30PAE02AA021</t>
  </si>
  <si>
    <t>TORRE RAFFREDDAMENTO - CELLA 2 - SERRANDA MOTORIZZATA - 1</t>
  </si>
  <si>
    <t>Valv. Mot. Cella 2 Torre Raffred.</t>
  </si>
  <si>
    <t>30PAE02AA022</t>
  </si>
  <si>
    <t>TORRE RAFFREDDAMENTO - CELLA 2 - SERRANDA MOTORIZZATA - 2</t>
  </si>
  <si>
    <t>30PAE02AA501</t>
  </si>
  <si>
    <t>Valv. Vent. Cella 2 Torre Raffred.</t>
  </si>
  <si>
    <t>VALVOLA MOTORIZZATA VENT - CELLA 2 - TORRE RAFFREDDAMENTO</t>
  </si>
  <si>
    <t>30PAE02AP001</t>
  </si>
  <si>
    <t>POMPA BOOSTER ACQUA DI RAFFREDDAMENTO 2</t>
  </si>
  <si>
    <t>Pompa Booster Cella 2 Torre Raffred.</t>
  </si>
  <si>
    <t>30PAE03AA010</t>
  </si>
  <si>
    <t>Valv. Motor. Mand. Pompa Booster 3</t>
  </si>
  <si>
    <t>VALVOLA MOTORIZZATA USCITA POMPA BOOSTER 3</t>
  </si>
  <si>
    <t>30PAE03AA021</t>
  </si>
  <si>
    <t>TORRE RAFFREDDAMENTO - CELLA 3 - SERRANDA MOTORIZZATA - 1</t>
  </si>
  <si>
    <t>Valv. Mot. Cella 3 Torre Raffred.</t>
  </si>
  <si>
    <t>30PAE03AA022</t>
  </si>
  <si>
    <t>TORRE RAFFREDDAMENTO - CELLA 3 - SERRANDA MOTORIZZATA - 2</t>
  </si>
  <si>
    <t>30PAE03AA501</t>
  </si>
  <si>
    <t>Valv. Vent. Cella 3 Torre Raffred.</t>
  </si>
  <si>
    <t>VALVOLA MOTORIZZATA VENT - CELLA 3 - TORRE RAFFREDDAMENTO</t>
  </si>
  <si>
    <t>30PAE03AP001</t>
  </si>
  <si>
    <t>POMPA BOOSTER ACQUA DI RAFFREDDAMENTO 3</t>
  </si>
  <si>
    <t>5H</t>
  </si>
  <si>
    <t>Pompa Booster Cella 3 Torre Raffred.</t>
  </si>
  <si>
    <t>5/H</t>
  </si>
  <si>
    <t>30PAE04AA010</t>
  </si>
  <si>
    <t>Valv. Motor. Mand. Pompa Booster 4</t>
  </si>
  <si>
    <t>VALVOLA MOTORIZZATA USCITA POMPA BOOSTER 4</t>
  </si>
  <si>
    <t>30PAE04AA021</t>
  </si>
  <si>
    <t>TORRE RAFFREDDAMENTO - CELLA 4 - SERRANDA MOTORIZZATA - 1</t>
  </si>
  <si>
    <t>Valv. Mot. Cella 4 Torre Raffred.</t>
  </si>
  <si>
    <t>30PAE04AA022</t>
  </si>
  <si>
    <t>TORRE RAFFREDDAMENTO - CELLA 4 - SERRANDA MOTORIZZATA - 2</t>
  </si>
  <si>
    <t>30PAE04AA501</t>
  </si>
  <si>
    <t>Valv. Vent. Cella 4 Torre Raffred.</t>
  </si>
  <si>
    <t>VALVOLA MOTORIZZATA VENT - CELLA 4 - TORRE RAFFREDDAMENTO</t>
  </si>
  <si>
    <t>30PAE04AP001</t>
  </si>
  <si>
    <t>POMPA BOOSTER ACQUA DI RAFFREDDAMENTO 4</t>
  </si>
  <si>
    <t>30PAE22AA010</t>
  </si>
  <si>
    <t>Valv. Uscita Cella 2 Torre Raffred.</t>
  </si>
  <si>
    <t>30PAE23AA010</t>
  </si>
  <si>
    <t>Valv. Uscita Cella 3 Torre Raffred.</t>
  </si>
  <si>
    <t>6/E</t>
  </si>
  <si>
    <t>30PCC11AP010</t>
  </si>
  <si>
    <t>PCC</t>
  </si>
  <si>
    <t>POMPA B CIRCUITO CHIUSI DI RAFFREDDAMENTO</t>
  </si>
  <si>
    <t>10104.B3.303.4</t>
  </si>
  <si>
    <t>Pompa Circuito Chiuso 1</t>
  </si>
  <si>
    <t>30PCC12AP010</t>
  </si>
  <si>
    <t>POMPA A CIRCUITO CHIUSI DI RAFFREDDAMENTO</t>
  </si>
  <si>
    <t>2G</t>
  </si>
  <si>
    <t>Pompa Circuito Chiuso 2</t>
  </si>
  <si>
    <t>2/G</t>
  </si>
  <si>
    <t>pompadi circolazione 1</t>
  </si>
  <si>
    <t>10104.B3.183</t>
  </si>
  <si>
    <t>pompadi circolazione 2</t>
  </si>
  <si>
    <t>pompadi circolazione 3</t>
  </si>
  <si>
    <t>10104.B3.184</t>
  </si>
  <si>
    <t>pompadi circolazione 4</t>
  </si>
  <si>
    <t>30QEA01AN001</t>
  </si>
  <si>
    <t>QEA</t>
  </si>
  <si>
    <t>ALIMENTAZIONE QUADRO COMPRESSORE 1</t>
  </si>
  <si>
    <t>30QEA01NA001</t>
  </si>
  <si>
    <t>Q. Compress. 1</t>
  </si>
  <si>
    <t>30QEA02AN001</t>
  </si>
  <si>
    <t>ALIMENTAZIONE QUADRO COMPRESSORE 2</t>
  </si>
  <si>
    <t>8.1</t>
  </si>
  <si>
    <t>30QEA02NA001</t>
  </si>
  <si>
    <t>Q. Compress. 2</t>
  </si>
  <si>
    <t>Q22</t>
  </si>
  <si>
    <t>30QEA03AN001</t>
  </si>
  <si>
    <t>ALIMENTAZIONE QUADRO COMPRESSORE 3</t>
  </si>
  <si>
    <t>4.1</t>
  </si>
  <si>
    <t>30QEA03NA001</t>
  </si>
  <si>
    <t>Q. Compress. 3</t>
  </si>
  <si>
    <t>30QEA11AT002</t>
  </si>
  <si>
    <t>essicatore frigorifero 1</t>
  </si>
  <si>
    <t>30QEA12AT002</t>
  </si>
  <si>
    <t>essicatore frigorifero 2</t>
  </si>
  <si>
    <t>30SAE10GH001</t>
  </si>
  <si>
    <t>Q. HVAC. Calce</t>
  </si>
  <si>
    <t>32HLA95AA001</t>
  </si>
  <si>
    <t>serranda di regolazione ventilatore aria fossa</t>
  </si>
  <si>
    <t>30GCB51AP001</t>
  </si>
  <si>
    <t>POMPA ULTRA FILTRAZIONE A</t>
  </si>
  <si>
    <t>30GCB52AP001</t>
  </si>
  <si>
    <t>POMPA ULTRA FILTRAZIONE B</t>
  </si>
  <si>
    <t>30GCF11AP001</t>
  </si>
  <si>
    <t>POMPA ALTA PRESSIONE RO A</t>
  </si>
  <si>
    <t>30GCF12AP001</t>
  </si>
  <si>
    <t>POMPA ALTA PRESSIONE RO B</t>
  </si>
  <si>
    <t>30GCF41AP001</t>
  </si>
  <si>
    <t>POMPA RILANCIO PERMEATO A</t>
  </si>
  <si>
    <t>30GCF42AP001</t>
  </si>
  <si>
    <t>POMPA RILANCIO PERMEATO B</t>
  </si>
  <si>
    <t>30GCP21AP001</t>
  </si>
  <si>
    <t>POMPA CONTROLAVAGGIO ULTRA FILTRAZIONE A</t>
  </si>
  <si>
    <t>30GCP22AP001</t>
  </si>
  <si>
    <t>POMPA CONTROLAVAGGIO ULTRA FILTRAZIONE B</t>
  </si>
  <si>
    <t>30GCP60AP001</t>
  </si>
  <si>
    <t>POMPA CIP</t>
  </si>
  <si>
    <t>30GCN20BB001</t>
  </si>
  <si>
    <t>POMPA DOSATRICE ACIDO CITRICO ULTRA FILTRAZIONE A</t>
  </si>
  <si>
    <t>30GCN20BB002</t>
  </si>
  <si>
    <t>POMPA DOSATRICE ACIDO CITRICO ULTRA FILTRAZIONE B</t>
  </si>
  <si>
    <t>30GCN30BB001</t>
  </si>
  <si>
    <t>POMPA DOSATRICE METABISOLFITO DI SODIO RO LINEA A</t>
  </si>
  <si>
    <t>30GCN30BB002</t>
  </si>
  <si>
    <t>POMPA DOSATRICE METABISOLFITO DI SODIO RO LINEA B</t>
  </si>
  <si>
    <t>30GCN40BB001</t>
  </si>
  <si>
    <t>POMPA DOSATRICE AANTISCALANT RO LINEA A</t>
  </si>
  <si>
    <t>30GCN40BB002</t>
  </si>
  <si>
    <t>POMPA DOSATRICE AANTISCALANT RO LINEA B</t>
  </si>
  <si>
    <t>30GCN50BB001</t>
  </si>
  <si>
    <t>POMPA DOSATRICE IDROSSIDO DI SODIO RO LINEA A</t>
  </si>
  <si>
    <t>30GCN50BB002</t>
  </si>
  <si>
    <t>POMPA DOSATRICE IDROSSIDO DI SODIO RO LINEA B</t>
  </si>
  <si>
    <t>30GCN10AP001</t>
  </si>
  <si>
    <t xml:space="preserve">POMPA DOSATRICE IPOCLORITO DI SODIO </t>
  </si>
  <si>
    <t>30GCN10AP002</t>
  </si>
  <si>
    <t>30GCN10AP003</t>
  </si>
  <si>
    <t>POMPA DOSATRICE IPOCLORITO DI SODIO ULTRA FILTRAZIONE A</t>
  </si>
  <si>
    <t>30GCN10AP004</t>
  </si>
  <si>
    <t>POMPA DOSATRICE IPOCLORITO DI SODIO ULTRA FILTRAZIONE B</t>
  </si>
  <si>
    <t>30PBN58AP010</t>
  </si>
  <si>
    <t>POMPA DOSATRICE BISOLFOTO DI SODIO 1 TORRI</t>
  </si>
  <si>
    <t>30PBN59AP010</t>
  </si>
  <si>
    <t>POMPA DOSATRICE BISOLFOTO DI SODIO 2 TORRI</t>
  </si>
  <si>
    <t>30PBN68AP010</t>
  </si>
  <si>
    <t>POMPA DOSATRICE ANTICORROSIVO 1 VASCA TORRI</t>
  </si>
  <si>
    <t>30PBN69AP010</t>
  </si>
  <si>
    <t>POMPA DOSATRICE ANTICORROSIVO 2 VASCA TORRI</t>
  </si>
  <si>
    <t>30GBN48AP010</t>
  </si>
  <si>
    <t>POMPA DOSATRICE IPOCLORITO DI SODIO MANDATA POZZO 1</t>
  </si>
  <si>
    <t>30GBN49AP010</t>
  </si>
  <si>
    <t>POMPA DOSATRICE IPOCLORITO DI SODIO MANDATA POZZO 2</t>
  </si>
  <si>
    <t>30PBN48AP010</t>
  </si>
  <si>
    <t>POMPA DOSATRICE IPOCLORITO DI SODIO 1 VASCA TORRI</t>
  </si>
  <si>
    <t>30PBN49AP010</t>
  </si>
  <si>
    <t>POMPA DOSATRICE IPOCLORITO DI SODIO 2 VASCA TORRI</t>
  </si>
  <si>
    <t>30PBE48AP010</t>
  </si>
  <si>
    <t>POMPA DOSATRICE ACIDO SOLFORICO 1 TORRI</t>
  </si>
  <si>
    <t>30PBE49AP010</t>
  </si>
  <si>
    <t>POMPA DOSATRICE ACIDO SOLFORICO 2 TORRI</t>
  </si>
  <si>
    <t>SOTTOSTAZIONE ELETTRICA</t>
  </si>
  <si>
    <t>NOTE-LINEA</t>
  </si>
  <si>
    <t>P-ID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</si>
</sst>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FF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/>
    <xf numFmtId="0" fontId="0" fillId="3" borderId="0" xfId="0" applyFill="1"/>
    <xf numFmtId="0" fontId="1" fillId="0" borderId="0" xfId="0" applyFont="1"/>
    <xf numFmtId="0" fontId="0" fillId="0" borderId="1" xfId="0" applyBorder="1"/>
    <xf numFmtId="0" fontId="0" fillId="4" borderId="1" xfId="0" applyFill="1" applyBorder="1"/>
    <xf numFmtId="49" fontId="0" fillId="4" borderId="1" xfId="0" applyNumberFormat="1" applyFill="1" applyBorder="1"/>
    <xf numFmtId="0" fontId="0" fillId="4" borderId="0" xfId="0" applyFill="1"/>
    <xf numFmtId="0" fontId="3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0" fillId="6" borderId="1" xfId="0" applyFill="1" applyBorder="1"/>
    <xf numFmtId="49" fontId="0" fillId="6" borderId="1" xfId="0" applyNumberFormat="1" applyFill="1" applyBorder="1"/>
    <xf numFmtId="0" fontId="0" fillId="6" borderId="0" xfId="0" applyFill="1"/>
    <xf numFmtId="0" fontId="3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49" fontId="0" fillId="4" borderId="0" xfId="0" applyNumberFormat="1" applyFill="1"/>
    <xf numFmtId="0" fontId="0" fillId="7" borderId="0" xfId="0" applyFill="1"/>
    <xf numFmtId="0" fontId="0" fillId="7" borderId="1" xfId="0" applyFill="1" applyBorder="1"/>
    <xf numFmtId="49" fontId="0" fillId="7" borderId="1" xfId="0" applyNumberFormat="1" applyFill="1" applyBorder="1"/>
    <xf numFmtId="49" fontId="0" fillId="7" borderId="0" xfId="0" applyNumberFormat="1" applyFill="1"/>
    <xf numFmtId="0" fontId="3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3" borderId="2" xfId="0" applyFill="1" applyBorder="1"/>
    <xf numFmtId="0" fontId="0" fillId="7" borderId="2" xfId="0" applyFill="1" applyBorder="1"/>
    <xf numFmtId="0" fontId="0" fillId="0" borderId="2" xfId="0" applyBorder="1"/>
    <xf numFmtId="0" fontId="0" fillId="4" borderId="2" xfId="0" applyFill="1" applyBorder="1"/>
    <xf numFmtId="0" fontId="0" fillId="6" borderId="2" xfId="0" applyFill="1" applyBorder="1"/>
    <xf numFmtId="0" fontId="0" fillId="8" borderId="1" xfId="0" applyFill="1" applyBorder="1"/>
    <xf numFmtId="49" fontId="0" fillId="8" borderId="1" xfId="0" applyNumberFormat="1" applyFill="1" applyBorder="1"/>
    <xf numFmtId="0" fontId="0" fillId="8" borderId="0" xfId="0" applyFill="1"/>
    <xf numFmtId="0" fontId="3" fillId="8" borderId="1" xfId="0" applyFont="1" applyFill="1" applyBorder="1" applyAlignment="1">
      <alignment horizontal="center"/>
    </xf>
    <xf numFmtId="49" fontId="3" fillId="8" borderId="1" xfId="0" applyNumberFormat="1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/>
    <xf numFmtId="49" fontId="0" fillId="9" borderId="1" xfId="0" applyNumberFormat="1" applyFill="1" applyBorder="1"/>
    <xf numFmtId="0" fontId="0" fillId="9" borderId="0" xfId="0" applyFill="1"/>
    <xf numFmtId="49" fontId="3" fillId="4" borderId="1" xfId="0" applyNumberFormat="1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49" fontId="3" fillId="9" borderId="1" xfId="0" applyNumberFormat="1" applyFont="1" applyFill="1" applyBorder="1" applyAlignment="1">
      <alignment horizontal="center"/>
    </xf>
    <xf numFmtId="0" fontId="0" fillId="10" borderId="1" xfId="0" applyFill="1" applyBorder="1"/>
    <xf numFmtId="49" fontId="0" fillId="10" borderId="1" xfId="0" applyNumberFormat="1" applyFill="1" applyBorder="1"/>
    <xf numFmtId="0" fontId="0" fillId="10" borderId="0" xfId="0" applyFill="1"/>
    <xf numFmtId="0" fontId="3" fillId="10" borderId="1" xfId="0" applyFont="1" applyFill="1" applyBorder="1" applyAlignment="1">
      <alignment horizontal="center"/>
    </xf>
    <xf numFmtId="49" fontId="3" fillId="10" borderId="1" xfId="0" applyNumberFormat="1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49" fontId="3" fillId="7" borderId="1" xfId="0" applyNumberFormat="1" applyFont="1" applyFill="1" applyBorder="1" applyAlignment="1">
      <alignment horizontal="center"/>
    </xf>
    <xf numFmtId="0" fontId="4" fillId="11" borderId="0" xfId="0" applyFont="1" applyFill="1"/>
    <xf numFmtId="0" fontId="4" fillId="11" borderId="1" xfId="0" applyFont="1" applyFill="1" applyBorder="1"/>
    <xf numFmtId="49" fontId="4" fillId="11" borderId="1" xfId="0" applyNumberFormat="1" applyFont="1" applyFill="1" applyBorder="1"/>
    <xf numFmtId="0" fontId="4" fillId="11" borderId="1" xfId="0" applyFont="1" applyFill="1" applyBorder="1" applyAlignment="1">
      <alignment horizontal="center"/>
    </xf>
    <xf numFmtId="0" fontId="1" fillId="11" borderId="0" xfId="0" applyFont="1" applyFill="1"/>
    <xf numFmtId="0" fontId="1" fillId="11" borderId="1" xfId="0" applyFont="1" applyFill="1" applyBorder="1"/>
    <xf numFmtId="49" fontId="1" fillId="11" borderId="1" xfId="0" applyNumberFormat="1" applyFont="1" applyFill="1" applyBorder="1"/>
    <xf numFmtId="0" fontId="1" fillId="11" borderId="1" xfId="0" applyFont="1" applyFill="1" applyBorder="1" applyAlignment="1">
      <alignment horizontal="center"/>
    </xf>
    <xf numFmtId="49" fontId="0" fillId="7" borderId="2" xfId="0" applyNumberFormat="1" applyFill="1" applyBorder="1"/>
    <xf numFmtId="0" fontId="0" fillId="0" borderId="3" xfId="0" applyBorder="1"/>
    <xf numFmtId="0" fontId="0" fillId="0" borderId="4" xfId="0" applyBorder="1"/>
    <xf numFmtId="0" fontId="0" fillId="8" borderId="3" xfId="0" applyFill="1" applyBorder="1"/>
    <xf numFmtId="0" fontId="3" fillId="8" borderId="3" xfId="0" applyFont="1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0" borderId="5" xfId="0" applyBorder="1"/>
    <xf numFmtId="0" fontId="0" fillId="4" borderId="6" xfId="0" applyFill="1" applyBorder="1"/>
    <xf numFmtId="49" fontId="0" fillId="4" borderId="6" xfId="0" applyNumberFormat="1" applyFill="1" applyBorder="1"/>
    <xf numFmtId="0" fontId="3" fillId="4" borderId="6" xfId="0" applyFon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4" borderId="5" xfId="0" applyFill="1" applyBorder="1"/>
    <xf numFmtId="0" fontId="0" fillId="0" borderId="6" xfId="0" applyBorder="1"/>
    <xf numFmtId="0" fontId="0" fillId="0" borderId="7" xfId="0" applyBorder="1"/>
    <xf numFmtId="0" fontId="0" fillId="6" borderId="6" xfId="0" applyFill="1" applyBorder="1"/>
    <xf numFmtId="49" fontId="0" fillId="6" borderId="6" xfId="0" applyNumberFormat="1" applyFill="1" applyBorder="1"/>
    <xf numFmtId="0" fontId="3" fillId="6" borderId="6" xfId="0" applyFont="1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7" borderId="5" xfId="0" applyFill="1" applyBorder="1"/>
    <xf numFmtId="0" fontId="0" fillId="7" borderId="6" xfId="0" applyFill="1" applyBorder="1"/>
    <xf numFmtId="49" fontId="0" fillId="7" borderId="6" xfId="0" applyNumberFormat="1" applyFill="1" applyBorder="1"/>
    <xf numFmtId="0" fontId="3" fillId="7" borderId="6" xfId="0" applyFont="1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9" borderId="6" xfId="0" applyFill="1" applyBorder="1"/>
    <xf numFmtId="49" fontId="0" fillId="9" borderId="6" xfId="0" applyNumberFormat="1" applyFill="1" applyBorder="1"/>
    <xf numFmtId="0" fontId="3" fillId="9" borderId="6" xfId="0" applyFont="1" applyFill="1" applyBorder="1" applyAlignment="1">
      <alignment horizontal="center"/>
    </xf>
    <xf numFmtId="49" fontId="3" fillId="9" borderId="6" xfId="0" applyNumberFormat="1" applyFont="1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49" fontId="3" fillId="4" borderId="6" xfId="0" applyNumberFormat="1" applyFont="1" applyFill="1" applyBorder="1" applyAlignment="1">
      <alignment horizontal="center"/>
    </xf>
    <xf numFmtId="0" fontId="0" fillId="8" borderId="6" xfId="0" applyFill="1" applyBorder="1"/>
    <xf numFmtId="49" fontId="0" fillId="8" borderId="6" xfId="0" applyNumberFormat="1" applyFill="1" applyBorder="1"/>
    <xf numFmtId="0" fontId="3" fillId="8" borderId="6" xfId="0" applyFont="1" applyFill="1" applyBorder="1" applyAlignment="1">
      <alignment horizontal="center"/>
    </xf>
    <xf numFmtId="49" fontId="3" fillId="8" borderId="6" xfId="0" applyNumberFormat="1" applyFont="1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12" borderId="6" xfId="0" applyFill="1" applyBorder="1"/>
    <xf numFmtId="49" fontId="0" fillId="12" borderId="6" xfId="0" applyNumberFormat="1" applyFill="1" applyBorder="1"/>
    <xf numFmtId="0" fontId="3" fillId="12" borderId="6" xfId="0" applyFont="1" applyFill="1" applyBorder="1" applyAlignment="1">
      <alignment horizontal="center"/>
    </xf>
    <xf numFmtId="0" fontId="0" fillId="12" borderId="7" xfId="0" applyFill="1" applyBorder="1" applyAlignment="1">
      <alignment horizontal="center"/>
    </xf>
    <xf numFmtId="0" fontId="0" fillId="12" borderId="6" xfId="0" applyFill="1" applyBorder="1" applyAlignment="1">
      <alignment horizontal="center"/>
    </xf>
    <xf numFmtId="49" fontId="3" fillId="12" borderId="6" xfId="0" applyNumberFormat="1" applyFont="1" applyFill="1" applyBorder="1" applyAlignment="1">
      <alignment horizontal="center"/>
    </xf>
    <xf numFmtId="0" fontId="0" fillId="10" borderId="6" xfId="0" applyFill="1" applyBorder="1"/>
    <xf numFmtId="49" fontId="0" fillId="10" borderId="6" xfId="0" applyNumberFormat="1" applyFill="1" applyBorder="1"/>
    <xf numFmtId="0" fontId="3" fillId="10" borderId="6" xfId="0" applyFont="1" applyFill="1" applyBorder="1" applyAlignment="1">
      <alignment horizontal="center"/>
    </xf>
    <xf numFmtId="0" fontId="0" fillId="10" borderId="7" xfId="0" applyFill="1" applyBorder="1" applyAlignment="1">
      <alignment horizontal="center"/>
    </xf>
    <xf numFmtId="49" fontId="3" fillId="10" borderId="6" xfId="0" applyNumberFormat="1" applyFont="1" applyFill="1" applyBorder="1" applyAlignment="1">
      <alignment horizontal="center"/>
    </xf>
    <xf numFmtId="0" fontId="0" fillId="7" borderId="8" xfId="0" applyFill="1" applyBorder="1"/>
    <xf numFmtId="0" fontId="3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0" fillId="3" borderId="8" xfId="0" applyFill="1" applyBorder="1"/>
    <xf numFmtId="0" fontId="0" fillId="4" borderId="8" xfId="0" applyFill="1" applyBorder="1"/>
    <xf numFmtId="0" fontId="3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8" xfId="0" applyBorder="1"/>
    <xf numFmtId="0" fontId="3" fillId="5" borderId="0" xfId="0" applyFont="1" applyFill="1" applyAlignment="1">
      <alignment horizontal="center"/>
    </xf>
    <xf numFmtId="0" fontId="0" fillId="2" borderId="1" xfId="0" applyFill="1" applyBorder="1" applyAlignment="1">
      <alignment horizontal="center" vertical="top" textRotation="180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EA978-F71E-44C0-8F3C-2808F49EC677}">
  <dimension ref="A1:Q767"/>
  <sheetViews>
    <sheetView tabSelected="1" zoomScale="130" zoomScaleNormal="130" workbookViewId="0">
      <pane ySplit="1" topLeftCell="A68" activePane="bottomLeft" state="frozenSplit"/>
      <selection pane="bottomLeft" activeCell="A81" sqref="A81"/>
    </sheetView>
  </sheetViews>
  <sheetFormatPr defaultRowHeight="14.4" x14ac:dyDescent="0.3"/>
  <cols>
    <col min="1" max="1" width="15.5546875" customWidth="1"/>
    <col min="2" max="2" width="20.21875" customWidth="1"/>
    <col min="3" max="3" width="75.109375" customWidth="1"/>
    <col min="4" max="4" width="13.88671875" customWidth="1"/>
    <col min="5" max="5" width="3.44140625" customWidth="1"/>
    <col min="6" max="6" width="4.33203125" bestFit="1" customWidth="1"/>
    <col min="7" max="7" width="27.21875" customWidth="1"/>
    <col min="11" max="11" width="12.88671875" customWidth="1"/>
    <col min="13" max="13" width="3" customWidth="1"/>
    <col min="14" max="14" width="5.33203125" customWidth="1"/>
    <col min="15" max="15" width="3" customWidth="1"/>
    <col min="16" max="16" width="3.6640625" customWidth="1"/>
    <col min="17" max="17" width="4" customWidth="1"/>
  </cols>
  <sheetData>
    <row r="1" spans="1:17" ht="76.8" customHeight="1" x14ac:dyDescent="0.3">
      <c r="A1" s="119" t="s">
        <v>0</v>
      </c>
      <c r="B1" s="123" t="s">
        <v>1817</v>
      </c>
      <c r="C1" s="1" t="s">
        <v>1</v>
      </c>
      <c r="D1" s="1" t="s">
        <v>1819</v>
      </c>
      <c r="E1" s="118" t="s">
        <v>2</v>
      </c>
      <c r="F1" s="118" t="s">
        <v>3</v>
      </c>
      <c r="G1" s="2" t="s">
        <v>1818</v>
      </c>
      <c r="M1" s="120" t="s">
        <v>0</v>
      </c>
      <c r="N1" s="121"/>
      <c r="O1" s="121"/>
      <c r="P1" s="121"/>
      <c r="Q1" s="122"/>
    </row>
    <row r="2" spans="1:17" x14ac:dyDescent="0.3">
      <c r="A2">
        <v>30</v>
      </c>
      <c r="B2" s="4"/>
      <c r="C2" s="3" t="s">
        <v>4</v>
      </c>
      <c r="D2" s="3"/>
      <c r="E2" s="3"/>
      <c r="F2" s="3"/>
      <c r="G2" s="3" t="s">
        <v>5</v>
      </c>
      <c r="I2" s="5" t="str">
        <f>RIGHT(F2,1) &amp; LEFT(F2,1)</f>
        <v/>
      </c>
      <c r="J2" t="s">
        <v>6</v>
      </c>
      <c r="K2" t="str">
        <f t="shared" ref="K2:K65" si="0">M2 &amp; N2 &amp; O2 &amp; P2 &amp; Q2</f>
        <v/>
      </c>
      <c r="M2" s="3"/>
      <c r="N2" s="3"/>
      <c r="O2" s="3"/>
      <c r="P2" s="3"/>
      <c r="Q2" s="3"/>
    </row>
    <row r="3" spans="1:17" x14ac:dyDescent="0.3">
      <c r="A3">
        <v>30</v>
      </c>
      <c r="C3" s="6" t="s">
        <v>7</v>
      </c>
      <c r="D3" s="6"/>
      <c r="E3" s="6"/>
      <c r="F3" s="6"/>
      <c r="G3" s="6" t="s">
        <v>5</v>
      </c>
      <c r="I3" s="5" t="str">
        <f t="shared" ref="I3:I69" si="1">RIGHT(F3,1) &amp; LEFT(F3,1)</f>
        <v/>
      </c>
      <c r="J3" t="s">
        <v>6</v>
      </c>
      <c r="K3" t="str">
        <f t="shared" si="0"/>
        <v/>
      </c>
      <c r="M3" s="6"/>
      <c r="N3" s="6"/>
      <c r="O3" s="6"/>
      <c r="P3" s="6"/>
      <c r="Q3" s="6"/>
    </row>
    <row r="4" spans="1:17" x14ac:dyDescent="0.3">
      <c r="A4">
        <v>30</v>
      </c>
      <c r="B4" t="s">
        <v>8</v>
      </c>
      <c r="C4" s="6" t="s">
        <v>9</v>
      </c>
      <c r="D4" s="6"/>
      <c r="E4" s="6"/>
      <c r="F4" s="6" t="s">
        <v>10</v>
      </c>
      <c r="G4" s="6"/>
      <c r="I4" s="5" t="str">
        <f t="shared" si="1"/>
        <v>A7</v>
      </c>
      <c r="J4" t="s">
        <v>6</v>
      </c>
      <c r="K4" t="str">
        <f t="shared" si="0"/>
        <v/>
      </c>
      <c r="M4" s="6"/>
      <c r="N4" s="6"/>
      <c r="O4" s="6"/>
      <c r="P4" s="6"/>
      <c r="Q4" s="6"/>
    </row>
    <row r="5" spans="1:17" x14ac:dyDescent="0.3">
      <c r="A5">
        <v>30</v>
      </c>
      <c r="B5" t="s">
        <v>11</v>
      </c>
      <c r="C5" s="6" t="s">
        <v>12</v>
      </c>
      <c r="D5" s="6"/>
      <c r="E5" s="6"/>
      <c r="F5" s="6" t="s">
        <v>13</v>
      </c>
      <c r="G5" s="6"/>
      <c r="I5" s="5" t="str">
        <f t="shared" si="1"/>
        <v>I2</v>
      </c>
      <c r="J5" t="s">
        <v>6</v>
      </c>
      <c r="K5" t="str">
        <f t="shared" si="0"/>
        <v/>
      </c>
      <c r="M5" s="6"/>
      <c r="N5" s="6"/>
      <c r="O5" s="6"/>
      <c r="P5" s="6"/>
      <c r="Q5" s="6"/>
    </row>
    <row r="6" spans="1:17" x14ac:dyDescent="0.3">
      <c r="A6">
        <v>30</v>
      </c>
      <c r="B6" s="4" t="s">
        <v>11</v>
      </c>
      <c r="C6" s="3" t="s">
        <v>14</v>
      </c>
      <c r="D6" s="3"/>
      <c r="E6" s="3"/>
      <c r="F6" s="3" t="s">
        <v>15</v>
      </c>
      <c r="G6" s="3"/>
      <c r="I6" s="5" t="str">
        <f t="shared" si="1"/>
        <v>L2</v>
      </c>
      <c r="J6" t="s">
        <v>6</v>
      </c>
      <c r="K6" t="str">
        <f t="shared" si="0"/>
        <v/>
      </c>
      <c r="M6" s="3"/>
      <c r="N6" s="3"/>
      <c r="O6" s="3"/>
      <c r="P6" s="3"/>
      <c r="Q6" s="3"/>
    </row>
    <row r="7" spans="1:17" x14ac:dyDescent="0.3">
      <c r="A7">
        <v>30</v>
      </c>
      <c r="B7" s="9" t="s">
        <v>16</v>
      </c>
      <c r="C7" s="7" t="s">
        <v>17</v>
      </c>
      <c r="D7" s="8"/>
      <c r="E7" s="10">
        <v>1</v>
      </c>
      <c r="F7" s="10" t="s">
        <v>18</v>
      </c>
      <c r="G7" s="11"/>
      <c r="I7" s="5" t="str">
        <f t="shared" si="1"/>
        <v>E1</v>
      </c>
      <c r="J7" t="s">
        <v>6</v>
      </c>
      <c r="K7" t="str">
        <f t="shared" si="0"/>
        <v/>
      </c>
      <c r="M7" s="7"/>
      <c r="N7" s="7"/>
      <c r="O7" s="7"/>
      <c r="P7" s="7"/>
      <c r="Q7" s="8"/>
    </row>
    <row r="8" spans="1:17" x14ac:dyDescent="0.3">
      <c r="A8">
        <v>30</v>
      </c>
      <c r="B8" s="9" t="s">
        <v>16</v>
      </c>
      <c r="C8" s="7" t="s">
        <v>19</v>
      </c>
      <c r="D8" s="8"/>
      <c r="E8" s="10">
        <v>1</v>
      </c>
      <c r="F8" s="10" t="s">
        <v>20</v>
      </c>
      <c r="G8" s="11"/>
      <c r="I8" s="5" t="str">
        <f t="shared" si="1"/>
        <v>B1</v>
      </c>
      <c r="J8" t="s">
        <v>6</v>
      </c>
      <c r="K8" t="str">
        <f t="shared" si="0"/>
        <v/>
      </c>
      <c r="M8" s="7"/>
      <c r="N8" s="7"/>
      <c r="O8" s="7"/>
      <c r="P8" s="7"/>
      <c r="Q8" s="8"/>
    </row>
    <row r="9" spans="1:17" x14ac:dyDescent="0.3">
      <c r="A9">
        <v>30</v>
      </c>
      <c r="B9" s="9" t="s">
        <v>16</v>
      </c>
      <c r="C9" s="7" t="s">
        <v>21</v>
      </c>
      <c r="D9" s="8"/>
      <c r="E9" s="10"/>
      <c r="F9" s="12" t="s">
        <v>22</v>
      </c>
      <c r="G9" s="11"/>
      <c r="I9" s="5" t="str">
        <f t="shared" si="1"/>
        <v>D2</v>
      </c>
      <c r="K9" t="str">
        <f t="shared" si="0"/>
        <v/>
      </c>
      <c r="M9" s="7"/>
      <c r="N9" s="7"/>
      <c r="O9" s="7"/>
      <c r="P9" s="7"/>
      <c r="Q9" s="8"/>
    </row>
    <row r="10" spans="1:17" x14ac:dyDescent="0.3">
      <c r="A10">
        <v>30</v>
      </c>
      <c r="B10" s="4" t="s">
        <v>16</v>
      </c>
      <c r="C10" s="3" t="s">
        <v>23</v>
      </c>
      <c r="D10" s="3"/>
      <c r="E10" s="3"/>
      <c r="F10" s="3" t="s">
        <v>24</v>
      </c>
      <c r="G10" s="3"/>
      <c r="I10" s="5" t="str">
        <f t="shared" si="1"/>
        <v>B1</v>
      </c>
      <c r="J10" t="s">
        <v>6</v>
      </c>
      <c r="K10" t="str">
        <f t="shared" si="0"/>
        <v/>
      </c>
      <c r="M10" s="3"/>
      <c r="N10" s="3"/>
      <c r="O10" s="3"/>
      <c r="P10" s="3"/>
      <c r="Q10" s="3"/>
    </row>
    <row r="11" spans="1:17" x14ac:dyDescent="0.3">
      <c r="A11">
        <v>30</v>
      </c>
      <c r="B11" s="9" t="s">
        <v>16</v>
      </c>
      <c r="C11" s="7" t="s">
        <v>25</v>
      </c>
      <c r="D11" s="8"/>
      <c r="E11" s="10">
        <v>2</v>
      </c>
      <c r="F11" s="10" t="s">
        <v>26</v>
      </c>
      <c r="G11" s="11"/>
      <c r="I11" s="5" t="str">
        <f t="shared" si="1"/>
        <v>B2</v>
      </c>
      <c r="J11" t="s">
        <v>6</v>
      </c>
      <c r="K11" t="str">
        <f t="shared" si="0"/>
        <v/>
      </c>
      <c r="M11" s="7"/>
      <c r="N11" s="7"/>
      <c r="O11" s="7"/>
      <c r="P11" s="7"/>
      <c r="Q11" s="8"/>
    </row>
    <row r="12" spans="1:17" x14ac:dyDescent="0.3">
      <c r="A12">
        <v>30</v>
      </c>
      <c r="B12" s="9" t="s">
        <v>16</v>
      </c>
      <c r="C12" s="7" t="s">
        <v>27</v>
      </c>
      <c r="D12" s="8"/>
      <c r="E12" s="10">
        <v>3</v>
      </c>
      <c r="F12" s="10" t="s">
        <v>28</v>
      </c>
      <c r="G12" s="11"/>
      <c r="I12" s="5" t="str">
        <f t="shared" si="1"/>
        <v>B3</v>
      </c>
      <c r="J12" t="s">
        <v>6</v>
      </c>
      <c r="K12" t="str">
        <f t="shared" si="0"/>
        <v/>
      </c>
      <c r="M12" s="7"/>
      <c r="N12" s="7"/>
      <c r="O12" s="7"/>
      <c r="P12" s="7"/>
      <c r="Q12" s="8"/>
    </row>
    <row r="13" spans="1:17" x14ac:dyDescent="0.3">
      <c r="A13">
        <v>30</v>
      </c>
      <c r="B13" s="9" t="s">
        <v>16</v>
      </c>
      <c r="C13" s="7" t="s">
        <v>29</v>
      </c>
      <c r="D13" s="8"/>
      <c r="E13" s="10">
        <v>3</v>
      </c>
      <c r="F13" s="10" t="s">
        <v>30</v>
      </c>
      <c r="G13" s="11"/>
      <c r="I13" s="5" t="str">
        <f t="shared" si="1"/>
        <v>C3</v>
      </c>
      <c r="J13" t="s">
        <v>6</v>
      </c>
      <c r="K13" t="str">
        <f t="shared" si="0"/>
        <v/>
      </c>
      <c r="M13" s="7"/>
      <c r="N13" s="7"/>
      <c r="O13" s="7"/>
      <c r="P13" s="7"/>
      <c r="Q13" s="8"/>
    </row>
    <row r="14" spans="1:17" x14ac:dyDescent="0.3">
      <c r="A14">
        <v>30</v>
      </c>
      <c r="B14" s="9" t="s">
        <v>16</v>
      </c>
      <c r="C14" s="7" t="s">
        <v>31</v>
      </c>
      <c r="D14" s="8"/>
      <c r="E14" s="10">
        <v>1</v>
      </c>
      <c r="F14" s="10" t="s">
        <v>32</v>
      </c>
      <c r="G14" s="11"/>
      <c r="I14" s="5" t="str">
        <f t="shared" si="1"/>
        <v>D1</v>
      </c>
      <c r="J14" t="s">
        <v>6</v>
      </c>
      <c r="K14" t="str">
        <f t="shared" si="0"/>
        <v/>
      </c>
      <c r="M14" s="7"/>
      <c r="N14" s="7"/>
      <c r="O14" s="7"/>
      <c r="P14" s="7"/>
      <c r="Q14" s="8"/>
    </row>
    <row r="15" spans="1:17" x14ac:dyDescent="0.3">
      <c r="A15">
        <v>30</v>
      </c>
      <c r="B15" t="s">
        <v>16</v>
      </c>
      <c r="C15" s="6" t="s">
        <v>33</v>
      </c>
      <c r="D15" s="6"/>
      <c r="E15" s="6"/>
      <c r="F15" s="6" t="s">
        <v>34</v>
      </c>
      <c r="G15" s="6"/>
      <c r="I15" s="5" t="str">
        <f t="shared" si="1"/>
        <v>C2</v>
      </c>
      <c r="J15" t="s">
        <v>6</v>
      </c>
      <c r="K15" t="str">
        <f t="shared" si="0"/>
        <v/>
      </c>
      <c r="M15" s="6"/>
      <c r="N15" s="6"/>
      <c r="O15" s="6"/>
      <c r="P15" s="6"/>
      <c r="Q15" s="6"/>
    </row>
    <row r="16" spans="1:17" x14ac:dyDescent="0.3">
      <c r="A16">
        <v>30</v>
      </c>
      <c r="B16" s="9" t="s">
        <v>16</v>
      </c>
      <c r="C16" s="7" t="s">
        <v>35</v>
      </c>
      <c r="D16" s="8"/>
      <c r="E16" s="10">
        <v>2</v>
      </c>
      <c r="F16" s="12" t="s">
        <v>36</v>
      </c>
      <c r="G16" s="11"/>
      <c r="I16" s="5" t="str">
        <f t="shared" si="1"/>
        <v>C2</v>
      </c>
      <c r="J16" t="s">
        <v>6</v>
      </c>
      <c r="K16" t="str">
        <f t="shared" si="0"/>
        <v/>
      </c>
      <c r="M16" s="7"/>
      <c r="N16" s="7"/>
      <c r="O16" s="7"/>
      <c r="P16" s="7"/>
      <c r="Q16" s="8"/>
    </row>
    <row r="17" spans="1:17" x14ac:dyDescent="0.3">
      <c r="A17" t="s">
        <v>37</v>
      </c>
      <c r="B17" s="15" t="s">
        <v>38</v>
      </c>
      <c r="C17" s="13" t="s">
        <v>39</v>
      </c>
      <c r="D17" s="14"/>
      <c r="E17" s="16">
        <v>1</v>
      </c>
      <c r="F17" s="16" t="s">
        <v>40</v>
      </c>
      <c r="G17" s="17"/>
      <c r="I17" s="5" t="str">
        <f t="shared" si="1"/>
        <v>F1</v>
      </c>
      <c r="K17" t="str">
        <f t="shared" si="0"/>
        <v>30</v>
      </c>
      <c r="M17" s="13">
        <v>30</v>
      </c>
      <c r="N17" s="13"/>
      <c r="O17" s="14"/>
      <c r="P17" s="13"/>
      <c r="Q17" s="14"/>
    </row>
    <row r="18" spans="1:17" x14ac:dyDescent="0.3">
      <c r="A18" t="s">
        <v>37</v>
      </c>
      <c r="B18" s="15" t="s">
        <v>38</v>
      </c>
      <c r="C18" s="13" t="s">
        <v>41</v>
      </c>
      <c r="D18" s="14"/>
      <c r="E18" s="16">
        <v>1</v>
      </c>
      <c r="F18" s="16" t="s">
        <v>18</v>
      </c>
      <c r="G18" s="17"/>
      <c r="I18" s="5" t="str">
        <f t="shared" si="1"/>
        <v>E1</v>
      </c>
      <c r="J18" t="s">
        <v>6</v>
      </c>
      <c r="K18" t="str">
        <f t="shared" si="0"/>
        <v>30</v>
      </c>
      <c r="M18" s="13">
        <v>30</v>
      </c>
      <c r="N18" s="13"/>
      <c r="O18" s="14"/>
      <c r="P18" s="13"/>
      <c r="Q18" s="14"/>
    </row>
    <row r="19" spans="1:17" x14ac:dyDescent="0.3">
      <c r="A19" t="s">
        <v>37</v>
      </c>
      <c r="B19" s="15" t="s">
        <v>38</v>
      </c>
      <c r="C19" s="13" t="s">
        <v>42</v>
      </c>
      <c r="D19" s="14"/>
      <c r="E19" s="16">
        <v>1</v>
      </c>
      <c r="F19" s="16" t="s">
        <v>32</v>
      </c>
      <c r="G19" s="17"/>
      <c r="I19" s="5" t="str">
        <f t="shared" si="1"/>
        <v>D1</v>
      </c>
      <c r="J19" t="s">
        <v>43</v>
      </c>
      <c r="K19" t="str">
        <f t="shared" si="0"/>
        <v>30</v>
      </c>
      <c r="M19" s="13">
        <v>30</v>
      </c>
      <c r="N19" s="13"/>
      <c r="O19" s="14"/>
      <c r="P19" s="13"/>
      <c r="Q19" s="14"/>
    </row>
    <row r="20" spans="1:17" x14ac:dyDescent="0.3">
      <c r="A20" s="9" t="s">
        <v>44</v>
      </c>
      <c r="B20" s="18" t="s">
        <v>49</v>
      </c>
      <c r="C20" s="7" t="s">
        <v>50</v>
      </c>
      <c r="D20" s="8" t="s">
        <v>51</v>
      </c>
      <c r="E20" s="10">
        <v>9</v>
      </c>
      <c r="F20" s="10" t="s">
        <v>52</v>
      </c>
      <c r="G20" s="11"/>
      <c r="I20" s="5" t="str">
        <f t="shared" si="1"/>
        <v>39</v>
      </c>
      <c r="J20" t="s">
        <v>53</v>
      </c>
      <c r="K20" t="str">
        <f t="shared" si="0"/>
        <v>30BRR10GS001</v>
      </c>
      <c r="M20" s="7">
        <v>30</v>
      </c>
      <c r="N20" s="7" t="s">
        <v>45</v>
      </c>
      <c r="O20" s="8" t="s">
        <v>46</v>
      </c>
      <c r="P20" s="7" t="s">
        <v>47</v>
      </c>
      <c r="Q20" s="8" t="s">
        <v>48</v>
      </c>
    </row>
    <row r="21" spans="1:17" x14ac:dyDescent="0.3">
      <c r="A21" s="9" t="s">
        <v>54</v>
      </c>
      <c r="B21" s="18" t="s">
        <v>49</v>
      </c>
      <c r="C21" s="7" t="s">
        <v>56</v>
      </c>
      <c r="D21" s="8" t="s">
        <v>51</v>
      </c>
      <c r="E21" s="10">
        <v>1</v>
      </c>
      <c r="F21" s="10" t="s">
        <v>57</v>
      </c>
      <c r="G21" s="11"/>
      <c r="I21" s="5" t="str">
        <f t="shared" si="1"/>
        <v>31</v>
      </c>
      <c r="K21" t="str">
        <f t="shared" si="0"/>
        <v>30BFA30GS001</v>
      </c>
      <c r="M21" s="7">
        <v>30</v>
      </c>
      <c r="N21" s="7" t="s">
        <v>55</v>
      </c>
      <c r="O21" s="8" t="s">
        <v>37</v>
      </c>
      <c r="P21" s="7" t="s">
        <v>47</v>
      </c>
      <c r="Q21" s="8" t="s">
        <v>48</v>
      </c>
    </row>
    <row r="22" spans="1:17" x14ac:dyDescent="0.3">
      <c r="A22" s="9" t="s">
        <v>58</v>
      </c>
      <c r="B22" s="18" t="s">
        <v>49</v>
      </c>
      <c r="C22" s="7" t="s">
        <v>60</v>
      </c>
      <c r="D22" s="8"/>
      <c r="E22" s="10">
        <v>6</v>
      </c>
      <c r="F22" s="10" t="s">
        <v>61</v>
      </c>
      <c r="G22" s="11"/>
      <c r="I22" s="5" t="str">
        <f t="shared" si="1"/>
        <v>46</v>
      </c>
      <c r="J22" t="s">
        <v>62</v>
      </c>
      <c r="K22" t="str">
        <f t="shared" si="0"/>
        <v>30BFB10GS001</v>
      </c>
      <c r="M22" s="7">
        <v>30</v>
      </c>
      <c r="N22" s="7" t="s">
        <v>59</v>
      </c>
      <c r="O22" s="7">
        <v>10</v>
      </c>
      <c r="P22" s="7" t="s">
        <v>47</v>
      </c>
      <c r="Q22" s="8" t="s">
        <v>48</v>
      </c>
    </row>
    <row r="23" spans="1:17" x14ac:dyDescent="0.3">
      <c r="A23" s="19" t="s">
        <v>63</v>
      </c>
      <c r="B23" s="22" t="s">
        <v>65</v>
      </c>
      <c r="C23" s="20" t="s">
        <v>60</v>
      </c>
      <c r="D23" s="21"/>
      <c r="E23" s="23">
        <v>8</v>
      </c>
      <c r="F23" s="23" t="s">
        <v>66</v>
      </c>
      <c r="G23" s="24"/>
      <c r="I23" s="5" t="str">
        <f t="shared" si="1"/>
        <v>28</v>
      </c>
      <c r="J23" t="s">
        <v>67</v>
      </c>
      <c r="K23" t="str">
        <f t="shared" si="0"/>
        <v>30BFB20GS001</v>
      </c>
      <c r="M23" s="20">
        <v>30</v>
      </c>
      <c r="N23" s="20" t="s">
        <v>59</v>
      </c>
      <c r="O23" s="21" t="s">
        <v>64</v>
      </c>
      <c r="P23" s="20" t="s">
        <v>47</v>
      </c>
      <c r="Q23" s="21" t="s">
        <v>48</v>
      </c>
    </row>
    <row r="24" spans="1:17" x14ac:dyDescent="0.3">
      <c r="A24" s="19" t="s">
        <v>68</v>
      </c>
      <c r="B24" s="22" t="s">
        <v>65</v>
      </c>
      <c r="C24" s="20" t="s">
        <v>69</v>
      </c>
      <c r="D24" s="21" t="s">
        <v>51</v>
      </c>
      <c r="E24" s="23">
        <v>1</v>
      </c>
      <c r="F24" s="23" t="s">
        <v>57</v>
      </c>
      <c r="G24" s="24"/>
      <c r="I24" s="5" t="str">
        <f t="shared" si="1"/>
        <v>31</v>
      </c>
      <c r="J24" t="s">
        <v>70</v>
      </c>
      <c r="K24" t="str">
        <f t="shared" si="0"/>
        <v>30BFB30GS001</v>
      </c>
      <c r="M24" s="20">
        <v>30</v>
      </c>
      <c r="N24" s="20" t="s">
        <v>59</v>
      </c>
      <c r="O24" s="21" t="s">
        <v>37</v>
      </c>
      <c r="P24" s="20" t="s">
        <v>47</v>
      </c>
      <c r="Q24" s="21" t="s">
        <v>48</v>
      </c>
    </row>
    <row r="25" spans="1:17" x14ac:dyDescent="0.3">
      <c r="A25" s="9" t="s">
        <v>68</v>
      </c>
      <c r="B25" s="18" t="s">
        <v>49</v>
      </c>
      <c r="C25" s="7" t="s">
        <v>71</v>
      </c>
      <c r="D25" s="8" t="s">
        <v>51</v>
      </c>
      <c r="E25" s="10">
        <v>3</v>
      </c>
      <c r="F25" s="10" t="s">
        <v>72</v>
      </c>
      <c r="G25" s="11"/>
      <c r="I25" s="5" t="str">
        <f t="shared" si="1"/>
        <v>13</v>
      </c>
      <c r="J25" t="s">
        <v>73</v>
      </c>
      <c r="K25" t="str">
        <f t="shared" si="0"/>
        <v>30BFB30GS001</v>
      </c>
      <c r="M25" s="7">
        <v>30</v>
      </c>
      <c r="N25" s="7" t="s">
        <v>59</v>
      </c>
      <c r="O25" s="8" t="s">
        <v>37</v>
      </c>
      <c r="P25" s="7" t="s">
        <v>47</v>
      </c>
      <c r="Q25" s="8" t="s">
        <v>48</v>
      </c>
    </row>
    <row r="26" spans="1:17" x14ac:dyDescent="0.3">
      <c r="A26" s="4" t="s">
        <v>68</v>
      </c>
      <c r="B26" s="4"/>
      <c r="C26" s="3" t="s">
        <v>74</v>
      </c>
      <c r="D26" s="3"/>
      <c r="E26" s="3"/>
      <c r="F26" s="3"/>
      <c r="G26" s="3" t="s">
        <v>75</v>
      </c>
      <c r="I26" s="5" t="str">
        <f t="shared" si="1"/>
        <v/>
      </c>
      <c r="J26" t="s">
        <v>76</v>
      </c>
      <c r="K26" t="str">
        <f t="shared" si="0"/>
        <v/>
      </c>
      <c r="M26" s="3"/>
      <c r="N26" s="3"/>
      <c r="O26" s="3"/>
      <c r="P26" s="3"/>
      <c r="Q26" s="3"/>
    </row>
    <row r="27" spans="1:17" x14ac:dyDescent="0.3">
      <c r="A27" t="s">
        <v>68</v>
      </c>
      <c r="C27" s="6" t="s">
        <v>77</v>
      </c>
      <c r="D27" s="6"/>
      <c r="E27" s="6"/>
      <c r="F27" s="6"/>
      <c r="G27" s="6" t="s">
        <v>5</v>
      </c>
      <c r="I27" s="5" t="str">
        <f t="shared" si="1"/>
        <v/>
      </c>
      <c r="J27" t="s">
        <v>78</v>
      </c>
      <c r="K27" t="str">
        <f t="shared" si="0"/>
        <v/>
      </c>
      <c r="M27" s="6"/>
      <c r="N27" s="6"/>
      <c r="O27" s="6"/>
      <c r="P27" s="6"/>
      <c r="Q27" s="6"/>
    </row>
    <row r="28" spans="1:17" x14ac:dyDescent="0.3">
      <c r="A28" s="9" t="s">
        <v>79</v>
      </c>
      <c r="B28" s="18" t="s">
        <v>49</v>
      </c>
      <c r="C28" s="7" t="s">
        <v>83</v>
      </c>
      <c r="D28" s="8"/>
      <c r="E28" s="10">
        <v>5</v>
      </c>
      <c r="F28" s="10" t="s">
        <v>84</v>
      </c>
      <c r="G28" s="11"/>
      <c r="I28" s="5" t="str">
        <f t="shared" si="1"/>
        <v>25</v>
      </c>
      <c r="J28" t="s">
        <v>67</v>
      </c>
      <c r="K28" t="str">
        <f t="shared" si="0"/>
        <v>30BFT10GT010</v>
      </c>
      <c r="M28" s="7">
        <v>30</v>
      </c>
      <c r="N28" s="7" t="s">
        <v>80</v>
      </c>
      <c r="O28" s="8" t="s">
        <v>46</v>
      </c>
      <c r="P28" s="7" t="s">
        <v>81</v>
      </c>
      <c r="Q28" s="8" t="s">
        <v>82</v>
      </c>
    </row>
    <row r="29" spans="1:17" x14ac:dyDescent="0.3">
      <c r="A29" s="9" t="s">
        <v>85</v>
      </c>
      <c r="B29" s="18" t="s">
        <v>49</v>
      </c>
      <c r="C29" s="7" t="s">
        <v>87</v>
      </c>
      <c r="D29" s="8"/>
      <c r="E29" s="10">
        <v>6</v>
      </c>
      <c r="F29" s="10" t="s">
        <v>88</v>
      </c>
      <c r="G29" s="11"/>
      <c r="I29" s="5" t="str">
        <f t="shared" si="1"/>
        <v>26</v>
      </c>
      <c r="J29" t="s">
        <v>89</v>
      </c>
      <c r="K29" t="str">
        <f t="shared" si="0"/>
        <v>30BFT10GT020</v>
      </c>
      <c r="M29" s="7">
        <v>30</v>
      </c>
      <c r="N29" s="7" t="s">
        <v>80</v>
      </c>
      <c r="O29" s="7">
        <v>10</v>
      </c>
      <c r="P29" s="7" t="s">
        <v>81</v>
      </c>
      <c r="Q29" s="8" t="s">
        <v>86</v>
      </c>
    </row>
    <row r="30" spans="1:17" x14ac:dyDescent="0.3">
      <c r="A30" s="19" t="s">
        <v>90</v>
      </c>
      <c r="B30" s="22" t="s">
        <v>65</v>
      </c>
      <c r="C30" s="20" t="s">
        <v>91</v>
      </c>
      <c r="D30" s="21"/>
      <c r="E30" s="23">
        <v>7</v>
      </c>
      <c r="F30" s="23" t="s">
        <v>92</v>
      </c>
      <c r="G30" s="24"/>
      <c r="I30" s="5" t="str">
        <f t="shared" si="1"/>
        <v>27</v>
      </c>
      <c r="J30" t="s">
        <v>93</v>
      </c>
      <c r="K30" t="str">
        <f t="shared" si="0"/>
        <v>30BFT20GT010</v>
      </c>
      <c r="M30" s="20">
        <v>30</v>
      </c>
      <c r="N30" s="20" t="s">
        <v>80</v>
      </c>
      <c r="O30" s="21" t="s">
        <v>64</v>
      </c>
      <c r="P30" s="20" t="s">
        <v>81</v>
      </c>
      <c r="Q30" s="21" t="s">
        <v>82</v>
      </c>
    </row>
    <row r="31" spans="1:17" x14ac:dyDescent="0.3">
      <c r="A31" s="19" t="s">
        <v>94</v>
      </c>
      <c r="B31" s="22" t="s">
        <v>65</v>
      </c>
      <c r="C31" s="20" t="s">
        <v>95</v>
      </c>
      <c r="D31" s="21"/>
      <c r="E31" s="23">
        <v>7</v>
      </c>
      <c r="F31" s="23" t="s">
        <v>96</v>
      </c>
      <c r="G31" s="24"/>
      <c r="I31" s="5" t="str">
        <f t="shared" si="1"/>
        <v>47</v>
      </c>
      <c r="J31" t="s">
        <v>97</v>
      </c>
      <c r="K31" t="str">
        <f t="shared" si="0"/>
        <v>30BFT20GT020</v>
      </c>
      <c r="M31" s="20">
        <v>30</v>
      </c>
      <c r="N31" s="20" t="s">
        <v>80</v>
      </c>
      <c r="O31" s="21" t="s">
        <v>64</v>
      </c>
      <c r="P31" s="20" t="s">
        <v>81</v>
      </c>
      <c r="Q31" s="21" t="s">
        <v>86</v>
      </c>
    </row>
    <row r="32" spans="1:17" x14ac:dyDescent="0.3">
      <c r="A32" s="9" t="s">
        <v>98</v>
      </c>
      <c r="B32" s="18" t="s">
        <v>49</v>
      </c>
      <c r="C32" s="7" t="s">
        <v>100</v>
      </c>
      <c r="D32" s="8" t="s">
        <v>51</v>
      </c>
      <c r="E32" s="10">
        <v>3</v>
      </c>
      <c r="F32" s="10" t="s">
        <v>101</v>
      </c>
      <c r="G32" s="11"/>
      <c r="I32" s="5" t="str">
        <f t="shared" si="1"/>
        <v>23</v>
      </c>
      <c r="J32" t="s">
        <v>102</v>
      </c>
      <c r="K32" t="str">
        <f t="shared" si="0"/>
        <v>30BFX10GS001</v>
      </c>
      <c r="M32" s="7">
        <v>30</v>
      </c>
      <c r="N32" s="7" t="s">
        <v>99</v>
      </c>
      <c r="O32" s="8" t="s">
        <v>46</v>
      </c>
      <c r="P32" s="7" t="s">
        <v>47</v>
      </c>
      <c r="Q32" s="8" t="s">
        <v>48</v>
      </c>
    </row>
    <row r="33" spans="1:17" x14ac:dyDescent="0.3">
      <c r="A33" s="4" t="s">
        <v>98</v>
      </c>
      <c r="B33" s="4"/>
      <c r="C33" s="3" t="s">
        <v>103</v>
      </c>
      <c r="D33" s="3"/>
      <c r="E33" s="3"/>
      <c r="F33" s="3"/>
      <c r="G33" s="3" t="s">
        <v>104</v>
      </c>
      <c r="I33" s="5" t="str">
        <f t="shared" si="1"/>
        <v/>
      </c>
      <c r="J33" t="s">
        <v>105</v>
      </c>
      <c r="K33" t="str">
        <f t="shared" si="0"/>
        <v/>
      </c>
      <c r="M33" s="3"/>
      <c r="N33" s="3"/>
      <c r="O33" s="3"/>
      <c r="P33" s="3"/>
      <c r="Q33" s="3"/>
    </row>
    <row r="34" spans="1:17" x14ac:dyDescent="0.3">
      <c r="A34" s="9" t="s">
        <v>106</v>
      </c>
      <c r="B34" s="18" t="s">
        <v>49</v>
      </c>
      <c r="C34" s="7" t="s">
        <v>107</v>
      </c>
      <c r="D34" s="8" t="s">
        <v>51</v>
      </c>
      <c r="E34" s="10">
        <v>9</v>
      </c>
      <c r="F34" s="10" t="s">
        <v>108</v>
      </c>
      <c r="G34" s="11"/>
      <c r="I34" s="5" t="str">
        <f t="shared" si="1"/>
        <v>29</v>
      </c>
      <c r="J34" t="s">
        <v>109</v>
      </c>
      <c r="K34" t="str">
        <f t="shared" si="0"/>
        <v>30BFX20GS001</v>
      </c>
      <c r="M34" s="7">
        <v>30</v>
      </c>
      <c r="N34" s="7" t="s">
        <v>99</v>
      </c>
      <c r="O34" s="8" t="s">
        <v>64</v>
      </c>
      <c r="P34" s="7" t="s">
        <v>47</v>
      </c>
      <c r="Q34" s="8" t="s">
        <v>48</v>
      </c>
    </row>
    <row r="35" spans="1:17" x14ac:dyDescent="0.3">
      <c r="A35" t="s">
        <v>106</v>
      </c>
      <c r="C35" s="6" t="s">
        <v>110</v>
      </c>
      <c r="D35" s="6"/>
      <c r="E35" s="6"/>
      <c r="F35" s="6"/>
      <c r="G35" s="6" t="s">
        <v>111</v>
      </c>
      <c r="I35" s="5" t="str">
        <f t="shared" si="1"/>
        <v/>
      </c>
      <c r="J35" t="s">
        <v>112</v>
      </c>
      <c r="K35" t="str">
        <f t="shared" si="0"/>
        <v/>
      </c>
      <c r="M35" s="6"/>
      <c r="N35" s="6"/>
      <c r="O35" s="6"/>
      <c r="P35" s="6"/>
      <c r="Q35" s="6"/>
    </row>
    <row r="36" spans="1:17" x14ac:dyDescent="0.3">
      <c r="A36" s="19" t="s">
        <v>113</v>
      </c>
      <c r="B36" s="22" t="s">
        <v>65</v>
      </c>
      <c r="C36" s="20" t="s">
        <v>114</v>
      </c>
      <c r="D36" s="21" t="s">
        <v>51</v>
      </c>
      <c r="E36" s="23">
        <v>10</v>
      </c>
      <c r="F36" s="23" t="s">
        <v>115</v>
      </c>
      <c r="G36" s="24"/>
      <c r="I36" s="5" t="str">
        <f t="shared" si="1"/>
        <v>21</v>
      </c>
      <c r="J36" t="s">
        <v>116</v>
      </c>
      <c r="K36" t="str">
        <f t="shared" si="0"/>
        <v>30BFX30GS001</v>
      </c>
      <c r="M36" s="20">
        <v>30</v>
      </c>
      <c r="N36" s="20" t="s">
        <v>99</v>
      </c>
      <c r="O36" s="21" t="s">
        <v>37</v>
      </c>
      <c r="P36" s="20" t="s">
        <v>47</v>
      </c>
      <c r="Q36" s="21" t="s">
        <v>48</v>
      </c>
    </row>
    <row r="37" spans="1:17" x14ac:dyDescent="0.3">
      <c r="A37" s="4" t="s">
        <v>113</v>
      </c>
      <c r="B37" s="4"/>
      <c r="C37" s="3" t="s">
        <v>117</v>
      </c>
      <c r="D37" s="3"/>
      <c r="E37" s="3"/>
      <c r="F37" s="3"/>
      <c r="G37" s="3" t="s">
        <v>118</v>
      </c>
      <c r="I37" s="5" t="str">
        <f t="shared" si="1"/>
        <v/>
      </c>
      <c r="J37" t="s">
        <v>109</v>
      </c>
      <c r="K37" t="str">
        <f t="shared" si="0"/>
        <v/>
      </c>
      <c r="M37" s="25"/>
      <c r="N37" s="3"/>
      <c r="O37" s="3"/>
      <c r="P37" s="3"/>
      <c r="Q37" s="3"/>
    </row>
    <row r="38" spans="1:17" x14ac:dyDescent="0.3">
      <c r="A38" s="19" t="s">
        <v>119</v>
      </c>
      <c r="B38" s="22" t="s">
        <v>65</v>
      </c>
      <c r="C38" s="20" t="s">
        <v>121</v>
      </c>
      <c r="D38" s="21" t="s">
        <v>51</v>
      </c>
      <c r="E38" s="23">
        <v>4</v>
      </c>
      <c r="F38" s="23" t="s">
        <v>122</v>
      </c>
      <c r="G38" s="24"/>
      <c r="I38" s="5" t="str">
        <f t="shared" si="1"/>
        <v>24</v>
      </c>
      <c r="J38" t="s">
        <v>123</v>
      </c>
      <c r="K38" t="str">
        <f t="shared" si="0"/>
        <v>30BFX40GS001</v>
      </c>
      <c r="M38" s="26">
        <v>30</v>
      </c>
      <c r="N38" s="20" t="s">
        <v>99</v>
      </c>
      <c r="O38" s="21" t="s">
        <v>120</v>
      </c>
      <c r="P38" s="20" t="s">
        <v>47</v>
      </c>
      <c r="Q38" s="21" t="s">
        <v>48</v>
      </c>
    </row>
    <row r="39" spans="1:17" x14ac:dyDescent="0.3">
      <c r="A39" t="s">
        <v>119</v>
      </c>
      <c r="C39" s="6" t="s">
        <v>124</v>
      </c>
      <c r="D39" s="6"/>
      <c r="E39" s="6"/>
      <c r="F39" s="6"/>
      <c r="G39" s="6" t="s">
        <v>125</v>
      </c>
      <c r="I39" s="5" t="str">
        <f t="shared" si="1"/>
        <v/>
      </c>
      <c r="J39" t="s">
        <v>112</v>
      </c>
      <c r="K39" t="str">
        <f t="shared" si="0"/>
        <v/>
      </c>
      <c r="M39" s="27"/>
      <c r="N39" s="6"/>
      <c r="O39" s="6"/>
      <c r="P39" s="6"/>
      <c r="Q39" s="6"/>
    </row>
    <row r="40" spans="1:17" x14ac:dyDescent="0.3">
      <c r="A40" s="4" t="s">
        <v>126</v>
      </c>
      <c r="B40" s="4"/>
      <c r="C40" s="3" t="s">
        <v>127</v>
      </c>
      <c r="D40" s="3"/>
      <c r="E40" s="3"/>
      <c r="F40" s="3"/>
      <c r="G40" s="3" t="s">
        <v>128</v>
      </c>
      <c r="I40" s="5" t="str">
        <f t="shared" si="1"/>
        <v/>
      </c>
      <c r="J40" t="s">
        <v>129</v>
      </c>
      <c r="K40" t="str">
        <f t="shared" si="0"/>
        <v/>
      </c>
      <c r="M40" s="25"/>
      <c r="N40" s="3"/>
      <c r="O40" s="3"/>
      <c r="P40" s="3"/>
      <c r="Q40" s="3"/>
    </row>
    <row r="41" spans="1:17" x14ac:dyDescent="0.3">
      <c r="A41" s="9" t="s">
        <v>126</v>
      </c>
      <c r="B41" s="18" t="s">
        <v>49</v>
      </c>
      <c r="C41" s="7" t="s">
        <v>131</v>
      </c>
      <c r="D41" s="8" t="s">
        <v>51</v>
      </c>
      <c r="E41" s="10">
        <v>2</v>
      </c>
      <c r="F41" s="10" t="s">
        <v>132</v>
      </c>
      <c r="G41" s="11"/>
      <c r="I41" s="5" t="str">
        <f t="shared" si="1"/>
        <v>22</v>
      </c>
      <c r="J41" t="s">
        <v>105</v>
      </c>
      <c r="K41" t="str">
        <f t="shared" si="0"/>
        <v>30BJB30GS001</v>
      </c>
      <c r="M41" s="28">
        <v>30</v>
      </c>
      <c r="N41" s="7" t="s">
        <v>130</v>
      </c>
      <c r="O41" s="8" t="s">
        <v>37</v>
      </c>
      <c r="P41" s="7" t="s">
        <v>47</v>
      </c>
      <c r="Q41" s="8" t="s">
        <v>48</v>
      </c>
    </row>
    <row r="42" spans="1:17" x14ac:dyDescent="0.3">
      <c r="A42" s="9" t="s">
        <v>133</v>
      </c>
      <c r="B42" s="18" t="s">
        <v>49</v>
      </c>
      <c r="C42" s="7" t="s">
        <v>135</v>
      </c>
      <c r="D42" s="8" t="s">
        <v>51</v>
      </c>
      <c r="E42" s="10">
        <v>8</v>
      </c>
      <c r="F42" s="10" t="s">
        <v>66</v>
      </c>
      <c r="G42" s="11"/>
      <c r="I42" s="5" t="str">
        <f t="shared" si="1"/>
        <v>28</v>
      </c>
      <c r="J42" t="s">
        <v>102</v>
      </c>
      <c r="K42" t="str">
        <f t="shared" si="0"/>
        <v>30BJD10GS001</v>
      </c>
      <c r="M42" s="28">
        <v>30</v>
      </c>
      <c r="N42" s="7" t="s">
        <v>134</v>
      </c>
      <c r="O42" s="8" t="s">
        <v>46</v>
      </c>
      <c r="P42" s="7" t="s">
        <v>47</v>
      </c>
      <c r="Q42" s="8" t="s">
        <v>48</v>
      </c>
    </row>
    <row r="43" spans="1:17" x14ac:dyDescent="0.3">
      <c r="A43" t="s">
        <v>133</v>
      </c>
      <c r="C43" s="6" t="s">
        <v>136</v>
      </c>
      <c r="D43" s="6"/>
      <c r="E43" s="6"/>
      <c r="F43" s="6"/>
      <c r="G43" s="6" t="s">
        <v>137</v>
      </c>
      <c r="I43" s="5" t="str">
        <f t="shared" si="1"/>
        <v/>
      </c>
      <c r="J43" t="s">
        <v>138</v>
      </c>
      <c r="K43" t="str">
        <f t="shared" si="0"/>
        <v/>
      </c>
      <c r="M43" s="27"/>
      <c r="N43" s="6"/>
      <c r="O43" s="6"/>
      <c r="P43" s="6"/>
      <c r="Q43" s="6"/>
    </row>
    <row r="44" spans="1:17" x14ac:dyDescent="0.3">
      <c r="A44" s="19" t="s">
        <v>139</v>
      </c>
      <c r="B44" s="22" t="s">
        <v>65</v>
      </c>
      <c r="C44" s="20" t="s">
        <v>141</v>
      </c>
      <c r="D44" s="21" t="s">
        <v>51</v>
      </c>
      <c r="E44" s="23">
        <v>12</v>
      </c>
      <c r="F44" s="23" t="s">
        <v>142</v>
      </c>
      <c r="G44" s="24"/>
      <c r="I44" s="5" t="str">
        <f t="shared" si="1"/>
        <v>11</v>
      </c>
      <c r="J44" t="s">
        <v>116</v>
      </c>
      <c r="K44" t="str">
        <f t="shared" si="0"/>
        <v>30BJE10GS001</v>
      </c>
      <c r="M44" s="26">
        <v>30</v>
      </c>
      <c r="N44" s="20" t="s">
        <v>140</v>
      </c>
      <c r="O44" s="21" t="s">
        <v>46</v>
      </c>
      <c r="P44" s="20" t="s">
        <v>47</v>
      </c>
      <c r="Q44" s="21" t="s">
        <v>48</v>
      </c>
    </row>
    <row r="45" spans="1:17" x14ac:dyDescent="0.3">
      <c r="A45" s="4" t="s">
        <v>139</v>
      </c>
      <c r="B45" s="4"/>
      <c r="C45" s="3" t="s">
        <v>143</v>
      </c>
      <c r="D45" s="3"/>
      <c r="E45" s="3"/>
      <c r="F45" s="3"/>
      <c r="G45" s="3" t="s">
        <v>144</v>
      </c>
      <c r="I45" s="5" t="str">
        <f t="shared" si="1"/>
        <v/>
      </c>
      <c r="K45" t="str">
        <f t="shared" si="0"/>
        <v/>
      </c>
      <c r="M45" s="25"/>
      <c r="N45" s="3"/>
      <c r="O45" s="3"/>
      <c r="P45" s="3"/>
      <c r="Q45" s="3"/>
    </row>
    <row r="46" spans="1:17" x14ac:dyDescent="0.3">
      <c r="A46" s="19" t="s">
        <v>145</v>
      </c>
      <c r="B46" s="22" t="s">
        <v>65</v>
      </c>
      <c r="C46" s="20" t="s">
        <v>146</v>
      </c>
      <c r="D46" s="21" t="s">
        <v>51</v>
      </c>
      <c r="E46" s="23">
        <v>11</v>
      </c>
      <c r="F46" s="23" t="s">
        <v>147</v>
      </c>
      <c r="G46" s="24"/>
      <c r="I46" s="5" t="str">
        <f t="shared" si="1"/>
        <v>11</v>
      </c>
      <c r="J46" t="s">
        <v>6</v>
      </c>
      <c r="K46" t="str">
        <f t="shared" si="0"/>
        <v>30BJE20GS001</v>
      </c>
      <c r="M46" s="26">
        <v>30</v>
      </c>
      <c r="N46" s="20" t="s">
        <v>140</v>
      </c>
      <c r="O46" s="21" t="s">
        <v>64</v>
      </c>
      <c r="P46" s="20" t="s">
        <v>47</v>
      </c>
      <c r="Q46" s="21" t="s">
        <v>48</v>
      </c>
    </row>
    <row r="47" spans="1:17" x14ac:dyDescent="0.3">
      <c r="A47" t="s">
        <v>145</v>
      </c>
      <c r="C47" s="6" t="s">
        <v>148</v>
      </c>
      <c r="D47" s="6"/>
      <c r="E47" s="6"/>
      <c r="F47" s="6"/>
      <c r="G47" s="6" t="s">
        <v>149</v>
      </c>
      <c r="I47" s="5" t="str">
        <f t="shared" si="1"/>
        <v/>
      </c>
      <c r="J47" t="s">
        <v>6</v>
      </c>
      <c r="K47" t="str">
        <f t="shared" si="0"/>
        <v/>
      </c>
      <c r="M47" s="27"/>
      <c r="N47" s="6"/>
      <c r="O47" s="6"/>
      <c r="P47" s="6"/>
      <c r="Q47" s="6"/>
    </row>
    <row r="48" spans="1:17" x14ac:dyDescent="0.3">
      <c r="A48" s="19" t="s">
        <v>150</v>
      </c>
      <c r="B48" s="22" t="s">
        <v>65</v>
      </c>
      <c r="C48" s="20" t="s">
        <v>152</v>
      </c>
      <c r="D48" s="21" t="s">
        <v>51</v>
      </c>
      <c r="E48" s="23">
        <v>1</v>
      </c>
      <c r="F48" s="23" t="s">
        <v>153</v>
      </c>
      <c r="G48" s="24"/>
      <c r="I48" s="5" t="str">
        <f t="shared" si="1"/>
        <v>21</v>
      </c>
      <c r="J48" t="s">
        <v>6</v>
      </c>
      <c r="K48" t="str">
        <f t="shared" si="0"/>
        <v>30BJF10GS001</v>
      </c>
      <c r="M48" s="26">
        <v>30</v>
      </c>
      <c r="N48" s="20" t="s">
        <v>151</v>
      </c>
      <c r="O48" s="21" t="s">
        <v>46</v>
      </c>
      <c r="P48" s="20" t="s">
        <v>47</v>
      </c>
      <c r="Q48" s="21" t="s">
        <v>48</v>
      </c>
    </row>
    <row r="49" spans="1:17" x14ac:dyDescent="0.3">
      <c r="A49" s="4" t="s">
        <v>150</v>
      </c>
      <c r="B49" s="4"/>
      <c r="C49" s="3" t="s">
        <v>154</v>
      </c>
      <c r="D49" s="3"/>
      <c r="E49" s="3"/>
      <c r="F49" s="3"/>
      <c r="G49" s="3" t="s">
        <v>75</v>
      </c>
      <c r="I49" s="5" t="str">
        <f t="shared" si="1"/>
        <v/>
      </c>
      <c r="J49" t="s">
        <v>6</v>
      </c>
      <c r="K49" t="str">
        <f t="shared" si="0"/>
        <v/>
      </c>
      <c r="M49" s="25"/>
      <c r="N49" s="3"/>
      <c r="O49" s="3"/>
      <c r="P49" s="3"/>
      <c r="Q49" s="3"/>
    </row>
    <row r="50" spans="1:17" x14ac:dyDescent="0.3">
      <c r="A50" s="9" t="s">
        <v>155</v>
      </c>
      <c r="B50" s="18" t="s">
        <v>49</v>
      </c>
      <c r="C50" s="7" t="s">
        <v>156</v>
      </c>
      <c r="D50" s="8" t="s">
        <v>51</v>
      </c>
      <c r="E50" s="10">
        <v>9</v>
      </c>
      <c r="F50" s="10" t="s">
        <v>157</v>
      </c>
      <c r="G50" s="11"/>
      <c r="I50" s="5" t="str">
        <f t="shared" si="1"/>
        <v>19</v>
      </c>
      <c r="J50" t="s">
        <v>6</v>
      </c>
      <c r="K50" t="str">
        <f t="shared" si="0"/>
        <v>30BJF20GS001</v>
      </c>
      <c r="M50" s="28">
        <v>30</v>
      </c>
      <c r="N50" s="7" t="s">
        <v>151</v>
      </c>
      <c r="O50" s="8" t="s">
        <v>64</v>
      </c>
      <c r="P50" s="7" t="s">
        <v>47</v>
      </c>
      <c r="Q50" s="8" t="s">
        <v>48</v>
      </c>
    </row>
    <row r="51" spans="1:17" x14ac:dyDescent="0.3">
      <c r="A51" t="s">
        <v>155</v>
      </c>
      <c r="C51" s="6" t="s">
        <v>158</v>
      </c>
      <c r="D51" s="6"/>
      <c r="E51" s="6"/>
      <c r="F51" s="6"/>
      <c r="G51" s="6" t="s">
        <v>159</v>
      </c>
      <c r="I51" s="5" t="str">
        <f t="shared" si="1"/>
        <v/>
      </c>
      <c r="J51" t="s">
        <v>6</v>
      </c>
      <c r="K51" t="str">
        <f t="shared" si="0"/>
        <v/>
      </c>
      <c r="M51" s="27"/>
      <c r="N51" s="6"/>
      <c r="O51" s="6"/>
      <c r="P51" s="6"/>
      <c r="Q51" s="6"/>
    </row>
    <row r="52" spans="1:17" x14ac:dyDescent="0.3">
      <c r="A52" s="19" t="s">
        <v>160</v>
      </c>
      <c r="B52" s="22" t="s">
        <v>65</v>
      </c>
      <c r="C52" s="20" t="s">
        <v>162</v>
      </c>
      <c r="D52" s="21" t="s">
        <v>51</v>
      </c>
      <c r="E52" s="23">
        <v>2</v>
      </c>
      <c r="F52" s="23" t="s">
        <v>132</v>
      </c>
      <c r="G52" s="24"/>
      <c r="I52" s="5" t="str">
        <f t="shared" si="1"/>
        <v>22</v>
      </c>
      <c r="J52" t="s">
        <v>6</v>
      </c>
      <c r="K52" t="str">
        <f t="shared" si="0"/>
        <v>30BJJ10GS001</v>
      </c>
      <c r="M52" s="26">
        <v>30</v>
      </c>
      <c r="N52" s="20" t="s">
        <v>161</v>
      </c>
      <c r="O52" s="21" t="s">
        <v>46</v>
      </c>
      <c r="P52" s="20" t="s">
        <v>47</v>
      </c>
      <c r="Q52" s="21" t="s">
        <v>48</v>
      </c>
    </row>
    <row r="53" spans="1:17" x14ac:dyDescent="0.3">
      <c r="A53" s="4" t="s">
        <v>160</v>
      </c>
      <c r="B53" s="4"/>
      <c r="C53" s="3" t="s">
        <v>163</v>
      </c>
      <c r="D53" s="3"/>
      <c r="E53" s="3"/>
      <c r="F53" s="3"/>
      <c r="G53" s="3" t="s">
        <v>104</v>
      </c>
      <c r="I53" s="5" t="str">
        <f t="shared" si="1"/>
        <v/>
      </c>
      <c r="J53" t="s">
        <v>6</v>
      </c>
      <c r="K53" t="str">
        <f t="shared" si="0"/>
        <v/>
      </c>
      <c r="M53" s="25"/>
      <c r="N53" s="3"/>
      <c r="O53" s="3"/>
      <c r="P53" s="3"/>
      <c r="Q53" s="3"/>
    </row>
    <row r="54" spans="1:17" x14ac:dyDescent="0.3">
      <c r="A54" s="19" t="s">
        <v>164</v>
      </c>
      <c r="B54" s="22" t="s">
        <v>65</v>
      </c>
      <c r="C54" s="20" t="s">
        <v>165</v>
      </c>
      <c r="D54" s="21" t="s">
        <v>51</v>
      </c>
      <c r="E54" s="23">
        <v>6</v>
      </c>
      <c r="F54" s="23" t="s">
        <v>166</v>
      </c>
      <c r="G54" s="24"/>
      <c r="I54" s="5" t="str">
        <f t="shared" si="1"/>
        <v>36</v>
      </c>
      <c r="J54" t="s">
        <v>6</v>
      </c>
      <c r="K54" t="str">
        <f t="shared" si="0"/>
        <v>30BRR10GS001</v>
      </c>
      <c r="M54" s="26">
        <v>30</v>
      </c>
      <c r="N54" s="20" t="s">
        <v>45</v>
      </c>
      <c r="O54" s="21" t="s">
        <v>46</v>
      </c>
      <c r="P54" s="20" t="s">
        <v>47</v>
      </c>
      <c r="Q54" s="21" t="s">
        <v>48</v>
      </c>
    </row>
    <row r="55" spans="1:17" x14ac:dyDescent="0.3">
      <c r="A55" s="4" t="s">
        <v>164</v>
      </c>
      <c r="B55" s="4"/>
      <c r="C55" s="3" t="s">
        <v>167</v>
      </c>
      <c r="D55" s="3"/>
      <c r="E55" s="3"/>
      <c r="F55" s="3"/>
      <c r="G55" s="3" t="s">
        <v>168</v>
      </c>
      <c r="I55" s="5" t="str">
        <f t="shared" si="1"/>
        <v/>
      </c>
      <c r="J55" t="s">
        <v>6</v>
      </c>
      <c r="K55" t="str">
        <f t="shared" si="0"/>
        <v/>
      </c>
      <c r="M55" s="25"/>
      <c r="N55" s="3"/>
      <c r="O55" s="3"/>
      <c r="P55" s="3"/>
      <c r="Q55" s="3"/>
    </row>
    <row r="56" spans="1:17" x14ac:dyDescent="0.3">
      <c r="A56" t="s">
        <v>164</v>
      </c>
      <c r="C56" s="6" t="s">
        <v>169</v>
      </c>
      <c r="D56" s="6"/>
      <c r="E56" s="6"/>
      <c r="F56" s="6"/>
      <c r="G56" s="6" t="s">
        <v>170</v>
      </c>
      <c r="I56" s="5" t="str">
        <f t="shared" si="1"/>
        <v/>
      </c>
      <c r="J56" t="s">
        <v>6</v>
      </c>
      <c r="K56" t="str">
        <f t="shared" si="0"/>
        <v/>
      </c>
      <c r="M56" s="27"/>
      <c r="N56" s="6"/>
      <c r="O56" s="6"/>
      <c r="P56" s="6"/>
      <c r="Q56" s="6"/>
    </row>
    <row r="57" spans="1:17" x14ac:dyDescent="0.3">
      <c r="A57" s="19" t="s">
        <v>171</v>
      </c>
      <c r="B57" s="22" t="s">
        <v>65</v>
      </c>
      <c r="C57" s="20" t="s">
        <v>173</v>
      </c>
      <c r="D57" s="21" t="s">
        <v>51</v>
      </c>
      <c r="E57" s="23">
        <v>3</v>
      </c>
      <c r="F57" s="23" t="s">
        <v>174</v>
      </c>
      <c r="G57" s="24"/>
      <c r="I57" s="5" t="str">
        <f t="shared" si="1"/>
        <v>33</v>
      </c>
      <c r="J57" t="s">
        <v>6</v>
      </c>
      <c r="K57" t="str">
        <f t="shared" si="0"/>
        <v>30BRS10GS001</v>
      </c>
      <c r="M57" s="26">
        <v>30</v>
      </c>
      <c r="N57" s="20" t="s">
        <v>172</v>
      </c>
      <c r="O57" s="21" t="s">
        <v>46</v>
      </c>
      <c r="P57" s="20" t="s">
        <v>47</v>
      </c>
      <c r="Q57" s="21" t="s">
        <v>48</v>
      </c>
    </row>
    <row r="58" spans="1:17" x14ac:dyDescent="0.3">
      <c r="A58" s="9" t="s">
        <v>171</v>
      </c>
      <c r="B58" s="18" t="s">
        <v>49</v>
      </c>
      <c r="C58" s="7" t="s">
        <v>175</v>
      </c>
      <c r="D58" s="8" t="s">
        <v>51</v>
      </c>
      <c r="E58" s="10">
        <v>7</v>
      </c>
      <c r="F58" s="10" t="s">
        <v>176</v>
      </c>
      <c r="G58" s="11"/>
      <c r="I58" s="5" t="str">
        <f t="shared" si="1"/>
        <v>37</v>
      </c>
      <c r="J58" t="s">
        <v>6</v>
      </c>
      <c r="K58" t="str">
        <f t="shared" si="0"/>
        <v>30BRS10GS001</v>
      </c>
      <c r="M58" s="28">
        <v>30</v>
      </c>
      <c r="N58" s="7" t="s">
        <v>172</v>
      </c>
      <c r="O58" s="8" t="s">
        <v>46</v>
      </c>
      <c r="P58" s="7" t="s">
        <v>47</v>
      </c>
      <c r="Q58" s="8" t="s">
        <v>48</v>
      </c>
    </row>
    <row r="59" spans="1:17" x14ac:dyDescent="0.3">
      <c r="A59" s="19" t="s">
        <v>171</v>
      </c>
      <c r="B59" s="22" t="s">
        <v>65</v>
      </c>
      <c r="C59" s="20" t="s">
        <v>177</v>
      </c>
      <c r="D59" s="21" t="s">
        <v>51</v>
      </c>
      <c r="E59" s="23">
        <v>2</v>
      </c>
      <c r="F59" s="23" t="s">
        <v>178</v>
      </c>
      <c r="G59" s="24"/>
      <c r="I59" s="5" t="str">
        <f t="shared" si="1"/>
        <v>32</v>
      </c>
      <c r="J59" t="s">
        <v>6</v>
      </c>
      <c r="K59" t="str">
        <f t="shared" si="0"/>
        <v>30BRS10GS001</v>
      </c>
      <c r="M59" s="26">
        <v>30</v>
      </c>
      <c r="N59" s="20" t="s">
        <v>172</v>
      </c>
      <c r="O59" s="21" t="s">
        <v>46</v>
      </c>
      <c r="P59" s="20" t="s">
        <v>47</v>
      </c>
      <c r="Q59" s="21" t="s">
        <v>48</v>
      </c>
    </row>
    <row r="60" spans="1:17" x14ac:dyDescent="0.3">
      <c r="A60" t="s">
        <v>171</v>
      </c>
      <c r="C60" s="6" t="s">
        <v>179</v>
      </c>
      <c r="D60" s="6"/>
      <c r="E60" s="6"/>
      <c r="F60" s="6"/>
      <c r="G60" s="6" t="s">
        <v>180</v>
      </c>
      <c r="I60" s="5" t="str">
        <f t="shared" si="1"/>
        <v/>
      </c>
      <c r="J60" t="s">
        <v>6</v>
      </c>
      <c r="K60" t="str">
        <f t="shared" si="0"/>
        <v/>
      </c>
      <c r="M60" s="27"/>
      <c r="N60" s="6"/>
      <c r="O60" s="6"/>
      <c r="P60" s="6"/>
      <c r="Q60" s="6"/>
    </row>
    <row r="61" spans="1:17" x14ac:dyDescent="0.3">
      <c r="A61" s="4" t="s">
        <v>171</v>
      </c>
      <c r="B61" s="4"/>
      <c r="C61" s="3" t="s">
        <v>181</v>
      </c>
      <c r="D61" s="3"/>
      <c r="E61" s="3"/>
      <c r="F61" s="3"/>
      <c r="G61" s="3" t="s">
        <v>182</v>
      </c>
      <c r="I61" s="5" t="str">
        <f t="shared" si="1"/>
        <v/>
      </c>
      <c r="J61" t="s">
        <v>6</v>
      </c>
      <c r="K61" t="str">
        <f t="shared" si="0"/>
        <v/>
      </c>
      <c r="M61" s="25"/>
      <c r="N61" s="3"/>
      <c r="O61" s="3"/>
      <c r="P61" s="3"/>
      <c r="Q61" s="3"/>
    </row>
    <row r="62" spans="1:17" x14ac:dyDescent="0.3">
      <c r="A62" t="s">
        <v>171</v>
      </c>
      <c r="C62" s="6" t="s">
        <v>183</v>
      </c>
      <c r="D62" s="6"/>
      <c r="E62" s="6"/>
      <c r="F62" s="6"/>
      <c r="G62" s="6" t="s">
        <v>184</v>
      </c>
      <c r="I62" s="5" t="str">
        <f t="shared" si="1"/>
        <v/>
      </c>
      <c r="J62" t="s">
        <v>6</v>
      </c>
      <c r="K62" t="str">
        <f t="shared" si="0"/>
        <v/>
      </c>
      <c r="M62" s="27"/>
      <c r="N62" s="6"/>
      <c r="O62" s="6"/>
      <c r="P62" s="6"/>
      <c r="Q62" s="6"/>
    </row>
    <row r="63" spans="1:17" x14ac:dyDescent="0.3">
      <c r="A63" t="s">
        <v>185</v>
      </c>
      <c r="B63" s="15" t="s">
        <v>38</v>
      </c>
      <c r="C63" s="13" t="s">
        <v>187</v>
      </c>
      <c r="D63" s="14"/>
      <c r="E63" s="16"/>
      <c r="F63" s="16"/>
      <c r="G63" s="17"/>
      <c r="I63" s="5" t="str">
        <f t="shared" si="1"/>
        <v/>
      </c>
      <c r="J63" t="s">
        <v>6</v>
      </c>
      <c r="K63" t="str">
        <f t="shared" si="0"/>
        <v>30BUY</v>
      </c>
      <c r="M63" s="29">
        <v>30</v>
      </c>
      <c r="N63" s="13" t="s">
        <v>186</v>
      </c>
      <c r="O63" s="14"/>
      <c r="P63" s="13"/>
      <c r="Q63" s="14"/>
    </row>
    <row r="64" spans="1:17" x14ac:dyDescent="0.3">
      <c r="A64" t="s">
        <v>188</v>
      </c>
      <c r="B64" s="19" t="s">
        <v>11</v>
      </c>
      <c r="C64" s="20" t="s">
        <v>191</v>
      </c>
      <c r="D64" s="21"/>
      <c r="E64" s="23">
        <v>2</v>
      </c>
      <c r="F64" s="23" t="s">
        <v>192</v>
      </c>
      <c r="G64" s="24"/>
      <c r="I64" s="5" t="str">
        <f t="shared" si="1"/>
        <v>H2</v>
      </c>
      <c r="J64" t="s">
        <v>6</v>
      </c>
      <c r="K64" t="str">
        <f t="shared" si="0"/>
        <v>30EAF30GH001</v>
      </c>
      <c r="M64" s="26">
        <v>30</v>
      </c>
      <c r="N64" s="20" t="s">
        <v>189</v>
      </c>
      <c r="O64" s="21" t="s">
        <v>37</v>
      </c>
      <c r="P64" s="20" t="s">
        <v>190</v>
      </c>
      <c r="Q64" s="21" t="s">
        <v>48</v>
      </c>
    </row>
    <row r="65" spans="1:17" x14ac:dyDescent="0.3">
      <c r="A65" s="9" t="s">
        <v>193</v>
      </c>
      <c r="B65" s="18" t="s">
        <v>49</v>
      </c>
      <c r="C65" s="7" t="s">
        <v>195</v>
      </c>
      <c r="D65" s="8" t="s">
        <v>51</v>
      </c>
      <c r="E65" s="10">
        <v>2</v>
      </c>
      <c r="F65" s="10" t="s">
        <v>196</v>
      </c>
      <c r="G65" s="11"/>
      <c r="I65" s="5" t="str">
        <f t="shared" si="1"/>
        <v>12</v>
      </c>
      <c r="J65" t="s">
        <v>6</v>
      </c>
      <c r="K65" t="str">
        <f t="shared" si="0"/>
        <v>30ECA110GH001</v>
      </c>
      <c r="M65" s="28">
        <v>30</v>
      </c>
      <c r="N65" s="7" t="s">
        <v>194</v>
      </c>
      <c r="O65" s="8" t="s">
        <v>46</v>
      </c>
      <c r="P65" s="7" t="s">
        <v>190</v>
      </c>
      <c r="Q65" s="8" t="s">
        <v>48</v>
      </c>
    </row>
    <row r="66" spans="1:17" x14ac:dyDescent="0.3">
      <c r="A66" t="s">
        <v>193</v>
      </c>
      <c r="C66" s="6" t="s">
        <v>197</v>
      </c>
      <c r="D66" s="6"/>
      <c r="E66" s="6"/>
      <c r="F66" s="6"/>
      <c r="G66" s="6" t="s">
        <v>198</v>
      </c>
      <c r="I66" s="5" t="str">
        <f t="shared" si="1"/>
        <v/>
      </c>
      <c r="J66" t="s">
        <v>6</v>
      </c>
      <c r="K66" t="str">
        <f t="shared" ref="K66:K129" si="2">M66 &amp; N66 &amp; O66 &amp; P66 &amp; Q66</f>
        <v/>
      </c>
      <c r="M66" s="6"/>
      <c r="N66" s="6"/>
      <c r="O66" s="6"/>
      <c r="P66" s="6"/>
      <c r="Q66" s="6"/>
    </row>
    <row r="67" spans="1:17" x14ac:dyDescent="0.3">
      <c r="A67" s="19" t="s">
        <v>199</v>
      </c>
      <c r="B67" s="22" t="s">
        <v>65</v>
      </c>
      <c r="C67" s="20" t="s">
        <v>201</v>
      </c>
      <c r="D67" s="21" t="s">
        <v>51</v>
      </c>
      <c r="E67" s="23">
        <v>9</v>
      </c>
      <c r="F67" s="23" t="s">
        <v>157</v>
      </c>
      <c r="G67" s="24"/>
      <c r="I67" s="5" t="str">
        <f t="shared" si="1"/>
        <v>19</v>
      </c>
      <c r="J67" t="s">
        <v>6</v>
      </c>
      <c r="K67" t="str">
        <f t="shared" si="2"/>
        <v>30ECA20GH001</v>
      </c>
      <c r="M67" s="20">
        <v>30</v>
      </c>
      <c r="N67" s="20" t="s">
        <v>200</v>
      </c>
      <c r="O67" s="21" t="s">
        <v>64</v>
      </c>
      <c r="P67" s="20" t="s">
        <v>190</v>
      </c>
      <c r="Q67" s="21" t="s">
        <v>48</v>
      </c>
    </row>
    <row r="68" spans="1:17" x14ac:dyDescent="0.3">
      <c r="A68" s="4" t="s">
        <v>199</v>
      </c>
      <c r="B68" s="4"/>
      <c r="C68" s="3" t="s">
        <v>202</v>
      </c>
      <c r="D68" s="3"/>
      <c r="E68" s="3"/>
      <c r="F68" s="3"/>
      <c r="G68" s="3" t="s">
        <v>203</v>
      </c>
      <c r="I68" s="5" t="str">
        <f t="shared" si="1"/>
        <v/>
      </c>
      <c r="J68" t="s">
        <v>6</v>
      </c>
      <c r="K68" t="str">
        <f t="shared" si="2"/>
        <v/>
      </c>
      <c r="M68" s="3"/>
      <c r="N68" s="3"/>
      <c r="O68" s="3"/>
      <c r="P68" s="3"/>
      <c r="Q68" s="3"/>
    </row>
    <row r="69" spans="1:17" x14ac:dyDescent="0.3">
      <c r="A69" t="s">
        <v>204</v>
      </c>
      <c r="B69" t="s">
        <v>205</v>
      </c>
      <c r="C69" s="6" t="s">
        <v>206</v>
      </c>
      <c r="D69" s="6"/>
      <c r="E69" s="6"/>
      <c r="F69" s="6" t="s">
        <v>207</v>
      </c>
      <c r="G69" s="6"/>
      <c r="I69" s="5" t="str">
        <f t="shared" si="1"/>
        <v>H6</v>
      </c>
      <c r="J69" t="s">
        <v>6</v>
      </c>
      <c r="K69" t="str">
        <f t="shared" si="2"/>
        <v/>
      </c>
      <c r="M69" s="6"/>
      <c r="N69" s="6"/>
      <c r="O69" s="6"/>
      <c r="P69" s="6"/>
      <c r="Q69" s="6"/>
    </row>
    <row r="70" spans="1:17" x14ac:dyDescent="0.3">
      <c r="A70" t="s">
        <v>204</v>
      </c>
      <c r="B70" s="32" t="s">
        <v>205</v>
      </c>
      <c r="C70" s="30" t="s">
        <v>210</v>
      </c>
      <c r="D70" s="31" t="s">
        <v>211</v>
      </c>
      <c r="E70" s="33">
        <v>6</v>
      </c>
      <c r="F70" s="34" t="s">
        <v>212</v>
      </c>
      <c r="G70" s="35"/>
      <c r="I70" s="5" t="str">
        <f t="shared" ref="I70:I133" si="3">RIGHT(F70,1) &amp; LEFT(F70,1)</f>
        <v>H6</v>
      </c>
      <c r="J70" t="s">
        <v>6</v>
      </c>
      <c r="K70" t="str">
        <f t="shared" si="2"/>
        <v>30ETG10AF010</v>
      </c>
      <c r="M70" s="30">
        <v>30</v>
      </c>
      <c r="N70" s="30" t="s">
        <v>208</v>
      </c>
      <c r="O70" s="31" t="s">
        <v>46</v>
      </c>
      <c r="P70" s="30" t="s">
        <v>209</v>
      </c>
      <c r="Q70" s="31" t="s">
        <v>82</v>
      </c>
    </row>
    <row r="71" spans="1:17" x14ac:dyDescent="0.3">
      <c r="A71" t="s">
        <v>213</v>
      </c>
      <c r="B71" s="32" t="s">
        <v>205</v>
      </c>
      <c r="C71" s="30" t="s">
        <v>215</v>
      </c>
      <c r="D71" s="31"/>
      <c r="E71" s="33">
        <v>7</v>
      </c>
      <c r="F71" s="34" t="s">
        <v>216</v>
      </c>
      <c r="G71" s="35"/>
      <c r="I71" s="5" t="str">
        <f t="shared" si="3"/>
        <v>A7</v>
      </c>
      <c r="J71" t="s">
        <v>6</v>
      </c>
      <c r="K71" t="str">
        <f t="shared" si="2"/>
        <v>30ETG10AF011</v>
      </c>
      <c r="M71" s="30">
        <v>30</v>
      </c>
      <c r="N71" s="30" t="s">
        <v>208</v>
      </c>
      <c r="O71" s="31" t="s">
        <v>46</v>
      </c>
      <c r="P71" s="30" t="s">
        <v>209</v>
      </c>
      <c r="Q71" s="31" t="s">
        <v>214</v>
      </c>
    </row>
    <row r="72" spans="1:17" x14ac:dyDescent="0.3">
      <c r="A72" s="4" t="s">
        <v>213</v>
      </c>
      <c r="B72" s="4" t="s">
        <v>205</v>
      </c>
      <c r="C72" s="3" t="s">
        <v>217</v>
      </c>
      <c r="D72" s="3"/>
      <c r="E72" s="3"/>
      <c r="F72" s="3" t="s">
        <v>10</v>
      </c>
      <c r="G72" s="3"/>
      <c r="I72" s="5" t="str">
        <f t="shared" si="3"/>
        <v>A7</v>
      </c>
      <c r="J72" t="s">
        <v>6</v>
      </c>
      <c r="K72" t="str">
        <f t="shared" si="2"/>
        <v/>
      </c>
      <c r="M72" s="3"/>
      <c r="N72" s="3"/>
      <c r="O72" s="3"/>
      <c r="P72" s="3"/>
      <c r="Q72" s="3"/>
    </row>
    <row r="73" spans="1:17" x14ac:dyDescent="0.3">
      <c r="A73" t="s">
        <v>218</v>
      </c>
      <c r="B73" s="32" t="s">
        <v>205</v>
      </c>
      <c r="C73" s="30" t="s">
        <v>220</v>
      </c>
      <c r="D73" s="31" t="s">
        <v>211</v>
      </c>
      <c r="E73" s="33">
        <v>3</v>
      </c>
      <c r="F73" s="34" t="s">
        <v>221</v>
      </c>
      <c r="G73" s="35"/>
      <c r="I73" s="5" t="str">
        <f t="shared" si="3"/>
        <v>F3</v>
      </c>
      <c r="J73" t="s">
        <v>6</v>
      </c>
      <c r="K73" t="str">
        <f t="shared" si="2"/>
        <v>30ETG10AF012</v>
      </c>
      <c r="M73" s="30">
        <v>30</v>
      </c>
      <c r="N73" s="30" t="s">
        <v>208</v>
      </c>
      <c r="O73" s="31" t="s">
        <v>46</v>
      </c>
      <c r="P73" s="30" t="s">
        <v>209</v>
      </c>
      <c r="Q73" s="31" t="s">
        <v>219</v>
      </c>
    </row>
    <row r="74" spans="1:17" x14ac:dyDescent="0.3">
      <c r="A74" t="s">
        <v>218</v>
      </c>
      <c r="B74" t="s">
        <v>205</v>
      </c>
      <c r="C74" s="6" t="s">
        <v>222</v>
      </c>
      <c r="D74" s="6"/>
      <c r="E74" s="6"/>
      <c r="F74" s="6" t="s">
        <v>223</v>
      </c>
      <c r="G74" s="6"/>
      <c r="I74" s="5" t="str">
        <f t="shared" si="3"/>
        <v>F3</v>
      </c>
      <c r="J74" t="s">
        <v>6</v>
      </c>
      <c r="K74" t="str">
        <f t="shared" si="2"/>
        <v/>
      </c>
      <c r="M74" s="6"/>
      <c r="N74" s="6"/>
      <c r="O74" s="6"/>
      <c r="P74" s="6"/>
      <c r="Q74" s="6"/>
    </row>
    <row r="75" spans="1:17" x14ac:dyDescent="0.3">
      <c r="A75" s="4" t="s">
        <v>224</v>
      </c>
      <c r="B75" s="4" t="s">
        <v>8</v>
      </c>
      <c r="C75" s="3" t="s">
        <v>225</v>
      </c>
      <c r="D75" s="3"/>
      <c r="E75" s="3"/>
      <c r="F75" s="3" t="s">
        <v>226</v>
      </c>
      <c r="G75" s="3"/>
      <c r="I75" s="5" t="str">
        <f t="shared" si="3"/>
        <v>E7</v>
      </c>
      <c r="J75" t="s">
        <v>6</v>
      </c>
      <c r="K75" t="str">
        <f t="shared" si="2"/>
        <v/>
      </c>
      <c r="M75" s="3"/>
      <c r="N75" s="3"/>
      <c r="O75" s="3"/>
      <c r="P75" s="3"/>
      <c r="Q75" s="3"/>
    </row>
    <row r="76" spans="1:17" x14ac:dyDescent="0.3">
      <c r="A76" t="s">
        <v>224</v>
      </c>
      <c r="B76" s="38" t="s">
        <v>8</v>
      </c>
      <c r="C76" s="36" t="s">
        <v>227</v>
      </c>
      <c r="D76" s="37" t="s">
        <v>228</v>
      </c>
      <c r="E76" s="10">
        <v>7</v>
      </c>
      <c r="F76" s="39" t="s">
        <v>229</v>
      </c>
      <c r="G76" s="40"/>
      <c r="I76" s="5" t="str">
        <f t="shared" si="3"/>
        <v>E7</v>
      </c>
      <c r="J76" t="s">
        <v>6</v>
      </c>
      <c r="K76" t="str">
        <f t="shared" si="2"/>
        <v>30ETG20AF001</v>
      </c>
      <c r="M76" s="36">
        <v>30</v>
      </c>
      <c r="N76" s="36" t="s">
        <v>208</v>
      </c>
      <c r="O76" s="37" t="s">
        <v>64</v>
      </c>
      <c r="P76" s="36" t="s">
        <v>209</v>
      </c>
      <c r="Q76" s="37" t="s">
        <v>48</v>
      </c>
    </row>
    <row r="77" spans="1:17" x14ac:dyDescent="0.3">
      <c r="A77" t="s">
        <v>230</v>
      </c>
      <c r="B77" t="s">
        <v>8</v>
      </c>
      <c r="C77" s="6" t="s">
        <v>231</v>
      </c>
      <c r="D77" s="6"/>
      <c r="E77" s="6"/>
      <c r="F77" s="6" t="s">
        <v>232</v>
      </c>
      <c r="G77" s="6"/>
      <c r="I77" s="5" t="str">
        <f t="shared" si="3"/>
        <v>G8</v>
      </c>
      <c r="J77" t="s">
        <v>6</v>
      </c>
      <c r="K77" t="str">
        <f t="shared" si="2"/>
        <v/>
      </c>
      <c r="M77" s="6"/>
      <c r="N77" s="6"/>
      <c r="O77" s="6"/>
      <c r="P77" s="6"/>
      <c r="Q77" s="6"/>
    </row>
    <row r="78" spans="1:17" x14ac:dyDescent="0.3">
      <c r="A78" t="s">
        <v>230</v>
      </c>
      <c r="B78" s="38" t="s">
        <v>8</v>
      </c>
      <c r="C78" s="36" t="s">
        <v>234</v>
      </c>
      <c r="D78" s="37" t="s">
        <v>228</v>
      </c>
      <c r="E78" s="10">
        <v>8</v>
      </c>
      <c r="F78" s="39" t="s">
        <v>235</v>
      </c>
      <c r="G78" s="40"/>
      <c r="I78" s="5" t="str">
        <f t="shared" si="3"/>
        <v>G8</v>
      </c>
      <c r="J78" t="s">
        <v>6</v>
      </c>
      <c r="K78" t="str">
        <f t="shared" si="2"/>
        <v>30ETG20AF002</v>
      </c>
      <c r="M78" s="36">
        <v>30</v>
      </c>
      <c r="N78" s="36" t="s">
        <v>208</v>
      </c>
      <c r="O78" s="37" t="s">
        <v>64</v>
      </c>
      <c r="P78" s="36" t="s">
        <v>209</v>
      </c>
      <c r="Q78" s="37" t="s">
        <v>233</v>
      </c>
    </row>
    <row r="79" spans="1:17" x14ac:dyDescent="0.3">
      <c r="A79" s="4" t="s">
        <v>236</v>
      </c>
      <c r="B79" s="4" t="s">
        <v>205</v>
      </c>
      <c r="C79" s="3" t="s">
        <v>237</v>
      </c>
      <c r="D79" s="3"/>
      <c r="E79" s="3"/>
      <c r="F79" s="3" t="s">
        <v>238</v>
      </c>
      <c r="G79" s="3"/>
      <c r="I79" s="5" t="str">
        <f t="shared" si="3"/>
        <v>B8</v>
      </c>
      <c r="J79" t="s">
        <v>6</v>
      </c>
      <c r="K79" t="str">
        <f t="shared" si="2"/>
        <v/>
      </c>
      <c r="M79" s="3"/>
      <c r="N79" s="3"/>
      <c r="O79" s="3"/>
      <c r="P79" s="3"/>
      <c r="Q79" s="3"/>
    </row>
    <row r="80" spans="1:17" x14ac:dyDescent="0.3">
      <c r="A80" t="s">
        <v>239</v>
      </c>
      <c r="B80" t="s">
        <v>8</v>
      </c>
      <c r="C80" s="6" t="s">
        <v>240</v>
      </c>
      <c r="D80" s="6"/>
      <c r="E80" s="6"/>
      <c r="F80" s="6" t="s">
        <v>241</v>
      </c>
      <c r="G80" s="6"/>
      <c r="I80" s="5" t="str">
        <f t="shared" si="3"/>
        <v>G9</v>
      </c>
      <c r="J80" t="s">
        <v>6</v>
      </c>
      <c r="K80" t="str">
        <f t="shared" si="2"/>
        <v/>
      </c>
      <c r="M80" s="6"/>
      <c r="N80" s="6"/>
      <c r="O80" s="6"/>
      <c r="P80" s="6"/>
      <c r="Q80" s="6"/>
    </row>
    <row r="81" spans="1:17" x14ac:dyDescent="0.3">
      <c r="A81" t="s">
        <v>239</v>
      </c>
      <c r="B81" s="38" t="s">
        <v>8</v>
      </c>
      <c r="C81" s="36" t="s">
        <v>243</v>
      </c>
      <c r="D81" s="37" t="s">
        <v>228</v>
      </c>
      <c r="E81" s="41">
        <v>9</v>
      </c>
      <c r="F81" s="42" t="s">
        <v>244</v>
      </c>
      <c r="G81" s="40"/>
      <c r="I81" s="5" t="str">
        <f t="shared" si="3"/>
        <v>G9</v>
      </c>
      <c r="J81" t="s">
        <v>6</v>
      </c>
      <c r="K81" t="str">
        <f t="shared" si="2"/>
        <v>30ETG20AF004</v>
      </c>
      <c r="M81" s="36">
        <v>30</v>
      </c>
      <c r="N81" s="36" t="s">
        <v>208</v>
      </c>
      <c r="O81" s="37" t="s">
        <v>64</v>
      </c>
      <c r="P81" s="36" t="s">
        <v>209</v>
      </c>
      <c r="Q81" s="37" t="s">
        <v>242</v>
      </c>
    </row>
    <row r="82" spans="1:17" x14ac:dyDescent="0.3">
      <c r="A82" s="4" t="s">
        <v>245</v>
      </c>
      <c r="B82" s="4" t="s">
        <v>8</v>
      </c>
      <c r="C82" s="3" t="s">
        <v>246</v>
      </c>
      <c r="D82" s="3"/>
      <c r="E82" s="3"/>
      <c r="F82" s="3" t="s">
        <v>247</v>
      </c>
      <c r="G82" s="3"/>
      <c r="I82" s="5" t="str">
        <f t="shared" si="3"/>
        <v>G1</v>
      </c>
      <c r="J82" t="s">
        <v>6</v>
      </c>
      <c r="K82" t="str">
        <f t="shared" si="2"/>
        <v/>
      </c>
      <c r="M82" s="3"/>
      <c r="N82" s="3"/>
      <c r="O82" s="3"/>
      <c r="P82" s="3"/>
      <c r="Q82" s="3"/>
    </row>
    <row r="83" spans="1:17" x14ac:dyDescent="0.3">
      <c r="A83" t="s">
        <v>245</v>
      </c>
      <c r="B83" s="38" t="s">
        <v>8</v>
      </c>
      <c r="C83" s="36" t="s">
        <v>249</v>
      </c>
      <c r="D83" s="37" t="s">
        <v>228</v>
      </c>
      <c r="E83" s="41">
        <v>10</v>
      </c>
      <c r="F83" s="41" t="s">
        <v>250</v>
      </c>
      <c r="G83" s="40"/>
      <c r="I83" s="5" t="str">
        <f t="shared" si="3"/>
        <v>G1</v>
      </c>
      <c r="J83" t="s">
        <v>6</v>
      </c>
      <c r="K83" t="str">
        <f t="shared" si="2"/>
        <v>30ETG20AF005</v>
      </c>
      <c r="M83" s="36">
        <v>30</v>
      </c>
      <c r="N83" s="36" t="s">
        <v>208</v>
      </c>
      <c r="O83" s="37" t="s">
        <v>64</v>
      </c>
      <c r="P83" s="36" t="s">
        <v>209</v>
      </c>
      <c r="Q83" s="37" t="s">
        <v>248</v>
      </c>
    </row>
    <row r="84" spans="1:17" x14ac:dyDescent="0.3">
      <c r="A84" t="s">
        <v>251</v>
      </c>
      <c r="B84" t="s">
        <v>8</v>
      </c>
      <c r="C84" s="6" t="s">
        <v>252</v>
      </c>
      <c r="D84" s="6"/>
      <c r="E84" s="6"/>
      <c r="F84" s="6" t="s">
        <v>253</v>
      </c>
      <c r="G84" s="6"/>
      <c r="I84" s="5" t="str">
        <f t="shared" si="3"/>
        <v>G6</v>
      </c>
      <c r="J84" t="s">
        <v>6</v>
      </c>
      <c r="K84" t="str">
        <f t="shared" si="2"/>
        <v/>
      </c>
      <c r="M84" s="6"/>
      <c r="N84" s="6"/>
      <c r="O84" s="6"/>
      <c r="P84" s="6"/>
      <c r="Q84" s="6"/>
    </row>
    <row r="85" spans="1:17" x14ac:dyDescent="0.3">
      <c r="A85" t="s">
        <v>251</v>
      </c>
      <c r="B85" s="38" t="s">
        <v>8</v>
      </c>
      <c r="C85" s="36" t="s">
        <v>255</v>
      </c>
      <c r="D85" s="37" t="s">
        <v>228</v>
      </c>
      <c r="E85" s="10">
        <v>6</v>
      </c>
      <c r="F85" s="10" t="s">
        <v>256</v>
      </c>
      <c r="G85" s="40"/>
      <c r="I85" s="5" t="str">
        <f t="shared" si="3"/>
        <v>G6</v>
      </c>
      <c r="J85" t="s">
        <v>6</v>
      </c>
      <c r="K85" t="str">
        <f t="shared" si="2"/>
        <v>30ETG20AF006</v>
      </c>
      <c r="M85" s="36">
        <v>30</v>
      </c>
      <c r="N85" s="36" t="s">
        <v>208</v>
      </c>
      <c r="O85" s="37" t="s">
        <v>64</v>
      </c>
      <c r="P85" s="36" t="s">
        <v>209</v>
      </c>
      <c r="Q85" s="37" t="s">
        <v>254</v>
      </c>
    </row>
    <row r="86" spans="1:17" x14ac:dyDescent="0.3">
      <c r="A86" s="4" t="s">
        <v>257</v>
      </c>
      <c r="B86" s="4" t="s">
        <v>8</v>
      </c>
      <c r="C86" s="3" t="s">
        <v>258</v>
      </c>
      <c r="D86" s="3"/>
      <c r="E86" s="3"/>
      <c r="F86" s="3" t="s">
        <v>259</v>
      </c>
      <c r="G86" s="3"/>
      <c r="I86" s="5" t="str">
        <f t="shared" si="3"/>
        <v>F7</v>
      </c>
      <c r="J86" t="s">
        <v>6</v>
      </c>
      <c r="K86" t="str">
        <f t="shared" si="2"/>
        <v/>
      </c>
      <c r="M86" s="3"/>
      <c r="N86" s="3"/>
      <c r="O86" s="3"/>
      <c r="P86" s="3"/>
      <c r="Q86" s="3"/>
    </row>
    <row r="87" spans="1:17" x14ac:dyDescent="0.3">
      <c r="A87" t="s">
        <v>257</v>
      </c>
      <c r="B87" s="38" t="s">
        <v>8</v>
      </c>
      <c r="C87" s="36" t="s">
        <v>260</v>
      </c>
      <c r="D87" s="37" t="s">
        <v>228</v>
      </c>
      <c r="E87" s="10">
        <v>7</v>
      </c>
      <c r="F87" s="10" t="s">
        <v>261</v>
      </c>
      <c r="G87" s="40"/>
      <c r="I87" s="5" t="str">
        <f t="shared" si="3"/>
        <v>F7</v>
      </c>
      <c r="J87" t="s">
        <v>6</v>
      </c>
      <c r="K87" t="str">
        <f t="shared" si="2"/>
        <v>30ETG20AF010</v>
      </c>
      <c r="M87" s="36">
        <v>30</v>
      </c>
      <c r="N87" s="36" t="s">
        <v>208</v>
      </c>
      <c r="O87" s="37" t="s">
        <v>64</v>
      </c>
      <c r="P87" s="36" t="s">
        <v>209</v>
      </c>
      <c r="Q87" s="37" t="s">
        <v>82</v>
      </c>
    </row>
    <row r="88" spans="1:17" x14ac:dyDescent="0.3">
      <c r="A88" t="s">
        <v>262</v>
      </c>
      <c r="B88" s="38" t="s">
        <v>8</v>
      </c>
      <c r="C88" s="36" t="s">
        <v>265</v>
      </c>
      <c r="D88" s="37" t="s">
        <v>228</v>
      </c>
      <c r="E88" s="10">
        <v>5</v>
      </c>
      <c r="F88" s="10" t="s">
        <v>266</v>
      </c>
      <c r="G88" s="40"/>
      <c r="I88" s="5" t="str">
        <f t="shared" si="3"/>
        <v>E5</v>
      </c>
      <c r="J88" t="s">
        <v>6</v>
      </c>
      <c r="K88" t="str">
        <f t="shared" si="2"/>
        <v>30ETH11AF010</v>
      </c>
      <c r="M88" s="36">
        <v>30</v>
      </c>
      <c r="N88" s="36" t="s">
        <v>263</v>
      </c>
      <c r="O88" s="37" t="s">
        <v>264</v>
      </c>
      <c r="P88" s="36" t="s">
        <v>209</v>
      </c>
      <c r="Q88" s="37" t="s">
        <v>82</v>
      </c>
    </row>
    <row r="89" spans="1:17" x14ac:dyDescent="0.3">
      <c r="A89" t="s">
        <v>262</v>
      </c>
      <c r="B89" t="s">
        <v>8</v>
      </c>
      <c r="C89" s="6" t="s">
        <v>267</v>
      </c>
      <c r="D89" s="6"/>
      <c r="E89" s="6"/>
      <c r="F89" s="6" t="s">
        <v>268</v>
      </c>
      <c r="G89" s="6"/>
      <c r="I89" s="5" t="str">
        <f t="shared" si="3"/>
        <v>E5</v>
      </c>
      <c r="J89" t="s">
        <v>6</v>
      </c>
      <c r="K89" t="str">
        <f t="shared" si="2"/>
        <v/>
      </c>
      <c r="M89" s="6"/>
      <c r="N89" s="6"/>
      <c r="O89" s="6"/>
      <c r="P89" s="6"/>
      <c r="Q89" s="6"/>
    </row>
    <row r="90" spans="1:17" x14ac:dyDescent="0.3">
      <c r="A90" t="s">
        <v>269</v>
      </c>
      <c r="B90" s="38" t="s">
        <v>8</v>
      </c>
      <c r="C90" s="36" t="s">
        <v>271</v>
      </c>
      <c r="D90" s="37" t="s">
        <v>228</v>
      </c>
      <c r="E90" s="41"/>
      <c r="F90" s="41"/>
      <c r="G90" s="40"/>
      <c r="I90" s="5" t="str">
        <f t="shared" si="3"/>
        <v/>
      </c>
      <c r="J90" t="s">
        <v>6</v>
      </c>
      <c r="K90" t="str">
        <f t="shared" si="2"/>
        <v>30ETH12AF010</v>
      </c>
      <c r="M90" s="36">
        <v>30</v>
      </c>
      <c r="N90" s="36" t="s">
        <v>263</v>
      </c>
      <c r="O90" s="37" t="s">
        <v>270</v>
      </c>
      <c r="P90" s="36" t="s">
        <v>209</v>
      </c>
      <c r="Q90" s="37" t="s">
        <v>82</v>
      </c>
    </row>
    <row r="91" spans="1:17" x14ac:dyDescent="0.3">
      <c r="A91" t="s">
        <v>272</v>
      </c>
      <c r="B91" s="38" t="s">
        <v>8</v>
      </c>
      <c r="C91" s="36" t="s">
        <v>274</v>
      </c>
      <c r="D91" s="37" t="s">
        <v>228</v>
      </c>
      <c r="E91" s="41"/>
      <c r="F91" s="41"/>
      <c r="G91" s="40"/>
      <c r="I91" s="5" t="str">
        <f t="shared" si="3"/>
        <v/>
      </c>
      <c r="J91" t="s">
        <v>6</v>
      </c>
      <c r="K91" t="str">
        <f t="shared" si="2"/>
        <v>30ETH12AN010</v>
      </c>
      <c r="M91" s="36">
        <v>30</v>
      </c>
      <c r="N91" s="36" t="s">
        <v>263</v>
      </c>
      <c r="O91" s="37" t="s">
        <v>270</v>
      </c>
      <c r="P91" s="36" t="s">
        <v>273</v>
      </c>
      <c r="Q91" s="37" t="s">
        <v>82</v>
      </c>
    </row>
    <row r="92" spans="1:17" x14ac:dyDescent="0.3">
      <c r="A92" s="4" t="s">
        <v>275</v>
      </c>
      <c r="B92" s="4" t="s">
        <v>8</v>
      </c>
      <c r="C92" s="3" t="s">
        <v>276</v>
      </c>
      <c r="D92" s="3"/>
      <c r="E92" s="3"/>
      <c r="F92" s="3" t="s">
        <v>277</v>
      </c>
      <c r="G92" s="3"/>
      <c r="I92" s="5" t="str">
        <f t="shared" si="3"/>
        <v>B3</v>
      </c>
      <c r="J92" t="s">
        <v>6</v>
      </c>
      <c r="K92" t="str">
        <f t="shared" si="2"/>
        <v/>
      </c>
      <c r="M92" s="3"/>
      <c r="N92" s="3"/>
      <c r="O92" s="3"/>
      <c r="P92" s="3"/>
      <c r="Q92" s="3"/>
    </row>
    <row r="93" spans="1:17" x14ac:dyDescent="0.3">
      <c r="A93" t="s">
        <v>275</v>
      </c>
      <c r="B93" s="38" t="s">
        <v>8</v>
      </c>
      <c r="C93" s="36" t="s">
        <v>278</v>
      </c>
      <c r="D93" s="37" t="s">
        <v>228</v>
      </c>
      <c r="E93" s="10">
        <v>3</v>
      </c>
      <c r="F93" s="10" t="s">
        <v>28</v>
      </c>
      <c r="G93" s="40"/>
      <c r="I93" s="5" t="str">
        <f t="shared" si="3"/>
        <v>B3</v>
      </c>
      <c r="J93" t="s">
        <v>6</v>
      </c>
      <c r="K93" t="str">
        <f t="shared" si="2"/>
        <v>30ETH12GH010</v>
      </c>
      <c r="M93" s="36">
        <v>30</v>
      </c>
      <c r="N93" s="36" t="s">
        <v>263</v>
      </c>
      <c r="O93" s="37" t="s">
        <v>270</v>
      </c>
      <c r="P93" s="36" t="s">
        <v>190</v>
      </c>
      <c r="Q93" s="37" t="s">
        <v>82</v>
      </c>
    </row>
    <row r="94" spans="1:17" x14ac:dyDescent="0.3">
      <c r="A94" t="s">
        <v>279</v>
      </c>
      <c r="B94" s="38" t="s">
        <v>8</v>
      </c>
      <c r="C94" s="36" t="s">
        <v>281</v>
      </c>
      <c r="D94" s="37" t="s">
        <v>228</v>
      </c>
      <c r="E94" s="10">
        <v>6</v>
      </c>
      <c r="F94" s="10" t="s">
        <v>282</v>
      </c>
      <c r="G94" s="40"/>
      <c r="I94" s="5" t="str">
        <f t="shared" si="3"/>
        <v>D6</v>
      </c>
      <c r="J94" t="s">
        <v>6</v>
      </c>
      <c r="K94" t="str">
        <f t="shared" si="2"/>
        <v>30ETH21AF010</v>
      </c>
      <c r="M94" s="36">
        <v>30</v>
      </c>
      <c r="N94" s="36" t="s">
        <v>263</v>
      </c>
      <c r="O94" s="37" t="s">
        <v>280</v>
      </c>
      <c r="P94" s="36" t="s">
        <v>209</v>
      </c>
      <c r="Q94" s="37" t="s">
        <v>82</v>
      </c>
    </row>
    <row r="95" spans="1:17" x14ac:dyDescent="0.3">
      <c r="A95" t="s">
        <v>279</v>
      </c>
      <c r="B95" t="s">
        <v>8</v>
      </c>
      <c r="C95" s="6" t="s">
        <v>283</v>
      </c>
      <c r="D95" s="6"/>
      <c r="E95" s="6"/>
      <c r="F95" s="6" t="s">
        <v>284</v>
      </c>
      <c r="G95" s="6"/>
      <c r="I95" s="5" t="str">
        <f t="shared" si="3"/>
        <v>D6</v>
      </c>
      <c r="J95" t="s">
        <v>6</v>
      </c>
      <c r="K95" t="str">
        <f t="shared" si="2"/>
        <v/>
      </c>
      <c r="M95" s="6"/>
      <c r="N95" s="6"/>
      <c r="O95" s="6"/>
      <c r="P95" s="6"/>
      <c r="Q95" s="6"/>
    </row>
    <row r="96" spans="1:17" x14ac:dyDescent="0.3">
      <c r="A96" t="s">
        <v>285</v>
      </c>
      <c r="B96" s="38" t="s">
        <v>8</v>
      </c>
      <c r="C96" s="36" t="s">
        <v>287</v>
      </c>
      <c r="D96" s="37" t="s">
        <v>228</v>
      </c>
      <c r="E96" s="10">
        <v>7</v>
      </c>
      <c r="F96" s="10" t="s">
        <v>288</v>
      </c>
      <c r="G96" s="40"/>
      <c r="I96" s="5" t="str">
        <f t="shared" si="3"/>
        <v>D7</v>
      </c>
      <c r="J96" t="s">
        <v>138</v>
      </c>
      <c r="K96" t="str">
        <f t="shared" si="2"/>
        <v>30ETH31AF010</v>
      </c>
      <c r="M96" s="36">
        <v>30</v>
      </c>
      <c r="N96" s="36" t="s">
        <v>263</v>
      </c>
      <c r="O96" s="37" t="s">
        <v>286</v>
      </c>
      <c r="P96" s="36" t="s">
        <v>209</v>
      </c>
      <c r="Q96" s="37" t="s">
        <v>82</v>
      </c>
    </row>
    <row r="97" spans="1:17" x14ac:dyDescent="0.3">
      <c r="A97" s="4" t="s">
        <v>285</v>
      </c>
      <c r="B97" s="4" t="s">
        <v>8</v>
      </c>
      <c r="C97" s="3" t="s">
        <v>289</v>
      </c>
      <c r="D97" s="3"/>
      <c r="E97" s="3"/>
      <c r="F97" s="3" t="s">
        <v>290</v>
      </c>
      <c r="G97" s="3"/>
      <c r="I97" s="5" t="str">
        <f t="shared" si="3"/>
        <v>D7</v>
      </c>
      <c r="J97" t="s">
        <v>291</v>
      </c>
      <c r="K97" t="str">
        <f t="shared" si="2"/>
        <v/>
      </c>
      <c r="M97" s="3"/>
      <c r="N97" s="3"/>
      <c r="O97" s="3"/>
      <c r="P97" s="3"/>
      <c r="Q97" s="3"/>
    </row>
    <row r="98" spans="1:17" x14ac:dyDescent="0.3">
      <c r="A98" t="s">
        <v>292</v>
      </c>
      <c r="B98" t="s">
        <v>8</v>
      </c>
      <c r="C98" s="6" t="s">
        <v>293</v>
      </c>
      <c r="D98" s="6"/>
      <c r="E98" s="6"/>
      <c r="F98" s="6" t="s">
        <v>294</v>
      </c>
      <c r="G98" s="6"/>
      <c r="I98" s="5" t="str">
        <f t="shared" si="3"/>
        <v>D8</v>
      </c>
      <c r="J98" t="s">
        <v>291</v>
      </c>
      <c r="K98" t="str">
        <f t="shared" si="2"/>
        <v/>
      </c>
      <c r="M98" s="6"/>
      <c r="N98" s="6"/>
      <c r="O98" s="6"/>
      <c r="P98" s="6"/>
      <c r="Q98" s="6"/>
    </row>
    <row r="99" spans="1:17" x14ac:dyDescent="0.3">
      <c r="A99" t="s">
        <v>292</v>
      </c>
      <c r="B99" s="38" t="s">
        <v>8</v>
      </c>
      <c r="C99" s="36" t="s">
        <v>296</v>
      </c>
      <c r="D99" s="37" t="s">
        <v>228</v>
      </c>
      <c r="E99" s="10">
        <v>8</v>
      </c>
      <c r="F99" s="10" t="s">
        <v>297</v>
      </c>
      <c r="G99" s="40"/>
      <c r="I99" s="5" t="str">
        <f t="shared" si="3"/>
        <v>D8</v>
      </c>
      <c r="J99" t="s">
        <v>138</v>
      </c>
      <c r="K99" t="str">
        <f t="shared" si="2"/>
        <v>30ETH41AF010</v>
      </c>
      <c r="M99" s="36">
        <v>30</v>
      </c>
      <c r="N99" s="36" t="s">
        <v>263</v>
      </c>
      <c r="O99" s="37" t="s">
        <v>295</v>
      </c>
      <c r="P99" s="36" t="s">
        <v>209</v>
      </c>
      <c r="Q99" s="37" t="s">
        <v>82</v>
      </c>
    </row>
    <row r="100" spans="1:17" x14ac:dyDescent="0.3">
      <c r="A100" t="s">
        <v>298</v>
      </c>
      <c r="B100" s="38" t="s">
        <v>8</v>
      </c>
      <c r="C100" s="36" t="s">
        <v>271</v>
      </c>
      <c r="D100" s="37" t="s">
        <v>228</v>
      </c>
      <c r="E100" s="41"/>
      <c r="F100" s="41"/>
      <c r="G100" s="40"/>
      <c r="I100" s="5" t="str">
        <f t="shared" si="3"/>
        <v/>
      </c>
      <c r="J100" t="s">
        <v>300</v>
      </c>
      <c r="K100" t="str">
        <f t="shared" si="2"/>
        <v>30ETH42AF010</v>
      </c>
      <c r="M100" s="36">
        <v>30</v>
      </c>
      <c r="N100" s="36" t="s">
        <v>263</v>
      </c>
      <c r="O100" s="37" t="s">
        <v>299</v>
      </c>
      <c r="P100" s="36" t="s">
        <v>209</v>
      </c>
      <c r="Q100" s="37" t="s">
        <v>82</v>
      </c>
    </row>
    <row r="101" spans="1:17" x14ac:dyDescent="0.3">
      <c r="A101" t="s">
        <v>301</v>
      </c>
      <c r="B101" s="38" t="s">
        <v>8</v>
      </c>
      <c r="C101" s="36" t="s">
        <v>274</v>
      </c>
      <c r="D101" s="37" t="s">
        <v>228</v>
      </c>
      <c r="E101" s="41"/>
      <c r="F101" s="41"/>
      <c r="G101" s="40"/>
      <c r="I101" s="5" t="str">
        <f t="shared" si="3"/>
        <v/>
      </c>
      <c r="J101" t="s">
        <v>302</v>
      </c>
      <c r="K101" t="str">
        <f t="shared" si="2"/>
        <v>30ETH42AN010</v>
      </c>
      <c r="M101" s="36">
        <v>30</v>
      </c>
      <c r="N101" s="36" t="s">
        <v>263</v>
      </c>
      <c r="O101" s="37" t="s">
        <v>299</v>
      </c>
      <c r="P101" s="36" t="s">
        <v>273</v>
      </c>
      <c r="Q101" s="37" t="s">
        <v>82</v>
      </c>
    </row>
    <row r="102" spans="1:17" x14ac:dyDescent="0.3">
      <c r="A102" s="4" t="s">
        <v>303</v>
      </c>
      <c r="B102" s="4" t="s">
        <v>8</v>
      </c>
      <c r="C102" s="3" t="s">
        <v>304</v>
      </c>
      <c r="D102" s="3"/>
      <c r="E102" s="3"/>
      <c r="F102" s="3" t="s">
        <v>305</v>
      </c>
      <c r="G102" s="3"/>
      <c r="I102" s="5" t="str">
        <f t="shared" si="3"/>
        <v>A4</v>
      </c>
      <c r="J102" t="s">
        <v>306</v>
      </c>
      <c r="K102" t="str">
        <f t="shared" si="2"/>
        <v/>
      </c>
      <c r="M102" s="3"/>
      <c r="N102" s="3"/>
      <c r="O102" s="3"/>
      <c r="P102" s="3"/>
      <c r="Q102" s="3"/>
    </row>
    <row r="103" spans="1:17" x14ac:dyDescent="0.3">
      <c r="A103" t="s">
        <v>303</v>
      </c>
      <c r="B103" s="38" t="s">
        <v>8</v>
      </c>
      <c r="C103" s="36" t="s">
        <v>307</v>
      </c>
      <c r="D103" s="37" t="s">
        <v>228</v>
      </c>
      <c r="E103" s="10">
        <v>4</v>
      </c>
      <c r="F103" s="10" t="s">
        <v>308</v>
      </c>
      <c r="G103" s="40"/>
      <c r="I103" s="5" t="str">
        <f t="shared" si="3"/>
        <v>A4</v>
      </c>
      <c r="J103" t="s">
        <v>102</v>
      </c>
      <c r="K103" t="str">
        <f t="shared" si="2"/>
        <v>30ETH42GH010</v>
      </c>
      <c r="M103" s="36">
        <v>30</v>
      </c>
      <c r="N103" s="36" t="s">
        <v>263</v>
      </c>
      <c r="O103" s="37" t="s">
        <v>299</v>
      </c>
      <c r="P103" s="36" t="s">
        <v>190</v>
      </c>
      <c r="Q103" s="37" t="s">
        <v>82</v>
      </c>
    </row>
    <row r="104" spans="1:17" x14ac:dyDescent="0.3">
      <c r="A104" t="s">
        <v>309</v>
      </c>
      <c r="B104" t="s">
        <v>8</v>
      </c>
      <c r="C104" s="6" t="s">
        <v>310</v>
      </c>
      <c r="D104" s="6"/>
      <c r="E104" s="6"/>
      <c r="F104" s="6" t="s">
        <v>311</v>
      </c>
      <c r="G104" s="6"/>
      <c r="I104" s="5" t="str">
        <f t="shared" si="3"/>
        <v>F8</v>
      </c>
      <c r="J104" t="s">
        <v>102</v>
      </c>
      <c r="K104" t="str">
        <f t="shared" si="2"/>
        <v/>
      </c>
      <c r="M104" s="6"/>
      <c r="N104" s="6"/>
      <c r="O104" s="6"/>
      <c r="P104" s="6"/>
      <c r="Q104" s="6"/>
    </row>
    <row r="105" spans="1:17" x14ac:dyDescent="0.3">
      <c r="A105" t="s">
        <v>309</v>
      </c>
      <c r="B105" s="38" t="s">
        <v>8</v>
      </c>
      <c r="C105" s="36" t="s">
        <v>313</v>
      </c>
      <c r="D105" s="37" t="s">
        <v>314</v>
      </c>
      <c r="E105" s="10">
        <v>8</v>
      </c>
      <c r="F105" s="39" t="s">
        <v>315</v>
      </c>
      <c r="G105" s="40"/>
      <c r="I105" s="5" t="str">
        <f t="shared" si="3"/>
        <v>F8</v>
      </c>
      <c r="J105" t="s">
        <v>129</v>
      </c>
      <c r="K105" t="str">
        <f t="shared" si="2"/>
        <v>30ETK10AF001</v>
      </c>
      <c r="M105" s="36">
        <v>30</v>
      </c>
      <c r="N105" s="36" t="s">
        <v>312</v>
      </c>
      <c r="O105" s="37" t="s">
        <v>46</v>
      </c>
      <c r="P105" s="36" t="s">
        <v>209</v>
      </c>
      <c r="Q105" s="37" t="s">
        <v>48</v>
      </c>
    </row>
    <row r="106" spans="1:17" x14ac:dyDescent="0.3">
      <c r="A106" t="s">
        <v>316</v>
      </c>
      <c r="B106" s="32" t="s">
        <v>205</v>
      </c>
      <c r="C106" s="30" t="s">
        <v>318</v>
      </c>
      <c r="D106" s="31"/>
      <c r="E106" s="33">
        <v>7</v>
      </c>
      <c r="F106" s="34" t="s">
        <v>319</v>
      </c>
      <c r="G106" s="35"/>
      <c r="I106" s="5" t="str">
        <f t="shared" si="3"/>
        <v>B7</v>
      </c>
      <c r="J106" t="s">
        <v>102</v>
      </c>
      <c r="K106" t="str">
        <f t="shared" si="2"/>
        <v>30ETK10AF003</v>
      </c>
      <c r="M106" s="30">
        <v>30</v>
      </c>
      <c r="N106" s="30" t="s">
        <v>312</v>
      </c>
      <c r="O106" s="31" t="s">
        <v>46</v>
      </c>
      <c r="P106" s="30" t="s">
        <v>209</v>
      </c>
      <c r="Q106" s="31" t="s">
        <v>317</v>
      </c>
    </row>
    <row r="107" spans="1:17" x14ac:dyDescent="0.3">
      <c r="A107" s="4" t="s">
        <v>316</v>
      </c>
      <c r="B107" s="4" t="s">
        <v>205</v>
      </c>
      <c r="C107" s="3" t="s">
        <v>320</v>
      </c>
      <c r="D107" s="3"/>
      <c r="E107" s="3"/>
      <c r="F107" s="3" t="s">
        <v>321</v>
      </c>
      <c r="G107" s="3"/>
      <c r="I107" s="5" t="str">
        <f t="shared" si="3"/>
        <v>B7</v>
      </c>
      <c r="J107" t="s">
        <v>105</v>
      </c>
      <c r="K107" t="str">
        <f t="shared" si="2"/>
        <v/>
      </c>
      <c r="M107" s="3"/>
      <c r="N107" s="3"/>
      <c r="O107" s="3"/>
      <c r="P107" s="3"/>
      <c r="Q107" s="3"/>
    </row>
    <row r="108" spans="1:17" x14ac:dyDescent="0.3">
      <c r="A108" t="s">
        <v>322</v>
      </c>
      <c r="B108" s="38" t="s">
        <v>8</v>
      </c>
      <c r="C108" s="36" t="s">
        <v>323</v>
      </c>
      <c r="D108" s="37" t="s">
        <v>314</v>
      </c>
      <c r="E108" s="41">
        <v>10</v>
      </c>
      <c r="F108" s="42" t="s">
        <v>324</v>
      </c>
      <c r="G108" s="40"/>
      <c r="I108" s="5" t="str">
        <f t="shared" si="3"/>
        <v>E1</v>
      </c>
      <c r="J108" t="s">
        <v>325</v>
      </c>
      <c r="K108" t="str">
        <f t="shared" si="2"/>
        <v>30ETK10AF004</v>
      </c>
      <c r="M108" s="36">
        <v>30</v>
      </c>
      <c r="N108" s="36" t="s">
        <v>312</v>
      </c>
      <c r="O108" s="37" t="s">
        <v>46</v>
      </c>
      <c r="P108" s="36" t="s">
        <v>209</v>
      </c>
      <c r="Q108" s="37" t="s">
        <v>242</v>
      </c>
    </row>
    <row r="109" spans="1:17" x14ac:dyDescent="0.3">
      <c r="A109" t="s">
        <v>322</v>
      </c>
      <c r="B109" t="s">
        <v>8</v>
      </c>
      <c r="C109" s="6" t="s">
        <v>326</v>
      </c>
      <c r="D109" s="6"/>
      <c r="E109" s="6"/>
      <c r="F109" s="6" t="s">
        <v>327</v>
      </c>
      <c r="G109" s="6"/>
      <c r="I109" s="5" t="str">
        <f t="shared" si="3"/>
        <v>F1</v>
      </c>
      <c r="J109" t="s">
        <v>129</v>
      </c>
      <c r="K109" t="str">
        <f t="shared" si="2"/>
        <v/>
      </c>
      <c r="M109" s="6"/>
      <c r="N109" s="6"/>
      <c r="O109" s="6"/>
      <c r="P109" s="6"/>
      <c r="Q109" s="6"/>
    </row>
    <row r="110" spans="1:17" x14ac:dyDescent="0.3">
      <c r="A110" t="s">
        <v>328</v>
      </c>
      <c r="B110" s="32" t="s">
        <v>205</v>
      </c>
      <c r="C110" s="30" t="s">
        <v>329</v>
      </c>
      <c r="D110" s="31"/>
      <c r="E110" s="33">
        <v>8</v>
      </c>
      <c r="F110" s="34" t="s">
        <v>330</v>
      </c>
      <c r="G110" s="35"/>
      <c r="I110" s="5" t="str">
        <f t="shared" si="3"/>
        <v>B8</v>
      </c>
      <c r="J110" t="s">
        <v>70</v>
      </c>
      <c r="K110" t="str">
        <f t="shared" si="2"/>
        <v>30ETK20AF003</v>
      </c>
      <c r="M110" s="30">
        <v>30</v>
      </c>
      <c r="N110" s="30" t="s">
        <v>312</v>
      </c>
      <c r="O110" s="31" t="s">
        <v>64</v>
      </c>
      <c r="P110" s="30" t="s">
        <v>209</v>
      </c>
      <c r="Q110" s="31" t="s">
        <v>317</v>
      </c>
    </row>
    <row r="111" spans="1:17" x14ac:dyDescent="0.3">
      <c r="A111" t="s">
        <v>331</v>
      </c>
      <c r="B111" s="38" t="s">
        <v>8</v>
      </c>
      <c r="C111" s="36" t="s">
        <v>333</v>
      </c>
      <c r="D111" s="37" t="s">
        <v>314</v>
      </c>
      <c r="E111" s="10">
        <v>4</v>
      </c>
      <c r="F111" s="39" t="s">
        <v>334</v>
      </c>
      <c r="G111" s="40"/>
      <c r="I111" s="5" t="str">
        <f t="shared" si="3"/>
        <v>E4</v>
      </c>
      <c r="J111" t="s">
        <v>123</v>
      </c>
      <c r="K111" t="str">
        <f t="shared" si="2"/>
        <v>30ETL11AF010</v>
      </c>
      <c r="M111" s="36">
        <v>30</v>
      </c>
      <c r="N111" s="36" t="s">
        <v>332</v>
      </c>
      <c r="O111" s="37" t="s">
        <v>264</v>
      </c>
      <c r="P111" s="36" t="s">
        <v>209</v>
      </c>
      <c r="Q111" s="37" t="s">
        <v>82</v>
      </c>
    </row>
    <row r="112" spans="1:17" x14ac:dyDescent="0.3">
      <c r="A112" s="4" t="s">
        <v>331</v>
      </c>
      <c r="B112" s="4" t="s">
        <v>8</v>
      </c>
      <c r="C112" s="3" t="s">
        <v>335</v>
      </c>
      <c r="D112" s="3"/>
      <c r="E112" s="3"/>
      <c r="F112" s="3" t="s">
        <v>336</v>
      </c>
      <c r="G112" s="3"/>
      <c r="I112" s="5" t="str">
        <f t="shared" si="3"/>
        <v>E4</v>
      </c>
      <c r="J112" t="s">
        <v>129</v>
      </c>
      <c r="K112" t="str">
        <f t="shared" si="2"/>
        <v/>
      </c>
      <c r="M112" s="3"/>
      <c r="N112" s="3"/>
      <c r="O112" s="3"/>
      <c r="P112" s="3"/>
      <c r="Q112" s="3"/>
    </row>
    <row r="113" spans="1:17" x14ac:dyDescent="0.3">
      <c r="A113" t="s">
        <v>337</v>
      </c>
      <c r="B113" s="38" t="s">
        <v>8</v>
      </c>
      <c r="C113" s="36" t="s">
        <v>338</v>
      </c>
      <c r="D113" s="37" t="s">
        <v>314</v>
      </c>
      <c r="E113" s="10">
        <v>2</v>
      </c>
      <c r="F113" s="39" t="s">
        <v>339</v>
      </c>
      <c r="G113" s="40"/>
      <c r="I113" s="5" t="str">
        <f t="shared" si="3"/>
        <v>E2</v>
      </c>
      <c r="J113" t="s">
        <v>291</v>
      </c>
      <c r="K113" t="str">
        <f t="shared" si="2"/>
        <v>30ETL11AF011</v>
      </c>
      <c r="M113" s="36">
        <v>30</v>
      </c>
      <c r="N113" s="36" t="s">
        <v>332</v>
      </c>
      <c r="O113" s="37" t="s">
        <v>264</v>
      </c>
      <c r="P113" s="36" t="s">
        <v>209</v>
      </c>
      <c r="Q113" s="37" t="s">
        <v>214</v>
      </c>
    </row>
    <row r="114" spans="1:17" x14ac:dyDescent="0.3">
      <c r="A114" t="s">
        <v>337</v>
      </c>
      <c r="B114" t="s">
        <v>8</v>
      </c>
      <c r="C114" s="6" t="s">
        <v>335</v>
      </c>
      <c r="D114" s="6"/>
      <c r="E114" s="6"/>
      <c r="F114" s="6" t="s">
        <v>340</v>
      </c>
      <c r="G114" s="6"/>
      <c r="I114" s="5" t="str">
        <f t="shared" si="3"/>
        <v>E2</v>
      </c>
      <c r="J114" t="s">
        <v>116</v>
      </c>
      <c r="K114" t="str">
        <f t="shared" si="2"/>
        <v/>
      </c>
      <c r="M114" s="6"/>
      <c r="N114" s="6"/>
      <c r="O114" s="6"/>
      <c r="P114" s="6"/>
      <c r="Q114" s="6"/>
    </row>
    <row r="115" spans="1:17" x14ac:dyDescent="0.3">
      <c r="A115" t="s">
        <v>341</v>
      </c>
      <c r="B115" s="38" t="s">
        <v>8</v>
      </c>
      <c r="C115" s="36" t="s">
        <v>271</v>
      </c>
      <c r="D115" s="37" t="s">
        <v>314</v>
      </c>
      <c r="E115" s="41"/>
      <c r="F115" s="42"/>
      <c r="G115" s="40"/>
      <c r="I115" s="5" t="str">
        <f t="shared" si="3"/>
        <v/>
      </c>
      <c r="J115" t="s">
        <v>291</v>
      </c>
      <c r="K115" t="str">
        <f t="shared" si="2"/>
        <v>30ETL12AF010</v>
      </c>
      <c r="M115" s="36">
        <v>30</v>
      </c>
      <c r="N115" s="36" t="s">
        <v>332</v>
      </c>
      <c r="O115" s="37" t="s">
        <v>270</v>
      </c>
      <c r="P115" s="36" t="s">
        <v>209</v>
      </c>
      <c r="Q115" s="37" t="s">
        <v>82</v>
      </c>
    </row>
    <row r="116" spans="1:17" x14ac:dyDescent="0.3">
      <c r="A116" t="s">
        <v>342</v>
      </c>
      <c r="B116" s="38" t="s">
        <v>8</v>
      </c>
      <c r="C116" s="36" t="s">
        <v>274</v>
      </c>
      <c r="D116" s="37" t="s">
        <v>314</v>
      </c>
      <c r="E116" s="41"/>
      <c r="F116" s="42"/>
      <c r="G116" s="40"/>
      <c r="I116" s="5" t="str">
        <f t="shared" si="3"/>
        <v/>
      </c>
      <c r="J116" t="s">
        <v>291</v>
      </c>
      <c r="K116" t="str">
        <f t="shared" si="2"/>
        <v>30ETL12AN010</v>
      </c>
      <c r="M116" s="36">
        <v>30</v>
      </c>
      <c r="N116" s="36" t="s">
        <v>332</v>
      </c>
      <c r="O116" s="37" t="s">
        <v>270</v>
      </c>
      <c r="P116" s="36" t="s">
        <v>273</v>
      </c>
      <c r="Q116" s="37" t="s">
        <v>82</v>
      </c>
    </row>
    <row r="117" spans="1:17" x14ac:dyDescent="0.3">
      <c r="A117" t="s">
        <v>343</v>
      </c>
      <c r="B117" s="38" t="s">
        <v>8</v>
      </c>
      <c r="C117" s="36" t="s">
        <v>344</v>
      </c>
      <c r="D117" s="37" t="s">
        <v>314</v>
      </c>
      <c r="E117" s="10">
        <v>3</v>
      </c>
      <c r="F117" s="39" t="s">
        <v>345</v>
      </c>
      <c r="G117" s="40"/>
      <c r="I117" s="5" t="str">
        <f t="shared" si="3"/>
        <v>A3</v>
      </c>
      <c r="J117" t="s">
        <v>116</v>
      </c>
      <c r="K117" t="str">
        <f t="shared" si="2"/>
        <v>30ETL12GH010</v>
      </c>
      <c r="M117" s="36">
        <v>30</v>
      </c>
      <c r="N117" s="36" t="s">
        <v>332</v>
      </c>
      <c r="O117" s="37" t="s">
        <v>270</v>
      </c>
      <c r="P117" s="36" t="s">
        <v>190</v>
      </c>
      <c r="Q117" s="37" t="s">
        <v>82</v>
      </c>
    </row>
    <row r="118" spans="1:17" x14ac:dyDescent="0.3">
      <c r="A118" s="4" t="s">
        <v>343</v>
      </c>
      <c r="B118" s="4" t="s">
        <v>8</v>
      </c>
      <c r="C118" s="3" t="s">
        <v>346</v>
      </c>
      <c r="D118" s="3"/>
      <c r="E118" s="3"/>
      <c r="F118" s="3" t="s">
        <v>347</v>
      </c>
      <c r="G118" s="3"/>
      <c r="I118" s="5" t="str">
        <f t="shared" si="3"/>
        <v>A3</v>
      </c>
      <c r="J118" t="s">
        <v>138</v>
      </c>
      <c r="K118" t="str">
        <f t="shared" si="2"/>
        <v/>
      </c>
      <c r="M118" s="3"/>
      <c r="N118" s="3"/>
      <c r="O118" s="3"/>
      <c r="P118" s="3"/>
      <c r="Q118" s="3"/>
    </row>
    <row r="119" spans="1:17" x14ac:dyDescent="0.3">
      <c r="A119" t="s">
        <v>348</v>
      </c>
      <c r="B119" t="s">
        <v>349</v>
      </c>
      <c r="C119" s="6" t="s">
        <v>350</v>
      </c>
      <c r="D119" s="6"/>
      <c r="E119" s="6"/>
      <c r="F119" s="6" t="s">
        <v>351</v>
      </c>
      <c r="G119" s="6"/>
      <c r="I119" s="5" t="str">
        <f t="shared" si="3"/>
        <v>L5</v>
      </c>
      <c r="J119" t="s">
        <v>352</v>
      </c>
      <c r="K119" t="str">
        <f t="shared" si="2"/>
        <v/>
      </c>
      <c r="M119" s="6"/>
      <c r="N119" s="6"/>
      <c r="O119" s="6"/>
      <c r="P119" s="6"/>
      <c r="Q119" s="6"/>
    </row>
    <row r="120" spans="1:17" x14ac:dyDescent="0.3">
      <c r="A120" t="s">
        <v>348</v>
      </c>
      <c r="B120" s="45" t="s">
        <v>349</v>
      </c>
      <c r="C120" s="43" t="s">
        <v>353</v>
      </c>
      <c r="D120" s="44" t="s">
        <v>354</v>
      </c>
      <c r="E120" s="46">
        <v>6</v>
      </c>
      <c r="F120" s="47" t="s">
        <v>355</v>
      </c>
      <c r="G120" s="48"/>
      <c r="I120" s="5" t="str">
        <f t="shared" si="3"/>
        <v>I6</v>
      </c>
      <c r="J120" t="s">
        <v>356</v>
      </c>
      <c r="K120" t="str">
        <f t="shared" si="2"/>
        <v/>
      </c>
      <c r="M120" s="43"/>
      <c r="N120" s="43"/>
      <c r="O120" s="44"/>
      <c r="P120" s="43"/>
      <c r="Q120" s="44"/>
    </row>
    <row r="121" spans="1:17" x14ac:dyDescent="0.3">
      <c r="A121" s="4" t="s">
        <v>357</v>
      </c>
      <c r="B121" s="4" t="s">
        <v>349</v>
      </c>
      <c r="C121" s="3" t="s">
        <v>358</v>
      </c>
      <c r="D121" s="3"/>
      <c r="E121" s="3"/>
      <c r="F121" s="3" t="s">
        <v>359</v>
      </c>
      <c r="G121" s="3"/>
      <c r="I121" s="5" t="str">
        <f t="shared" si="3"/>
        <v>I6</v>
      </c>
      <c r="J121" t="s">
        <v>129</v>
      </c>
      <c r="K121" t="str">
        <f t="shared" si="2"/>
        <v/>
      </c>
      <c r="M121" s="3"/>
      <c r="N121" s="3"/>
      <c r="O121" s="3"/>
      <c r="P121" s="3"/>
      <c r="Q121" s="3"/>
    </row>
    <row r="122" spans="1:17" x14ac:dyDescent="0.3">
      <c r="A122" t="s">
        <v>360</v>
      </c>
      <c r="B122" s="45" t="s">
        <v>349</v>
      </c>
      <c r="C122" s="43" t="s">
        <v>361</v>
      </c>
      <c r="D122" s="44" t="s">
        <v>354</v>
      </c>
      <c r="E122" s="46">
        <v>7</v>
      </c>
      <c r="F122" s="46" t="s">
        <v>261</v>
      </c>
      <c r="G122" s="48"/>
      <c r="I122" s="5" t="str">
        <f t="shared" si="3"/>
        <v>F7</v>
      </c>
      <c r="J122" t="s">
        <v>362</v>
      </c>
      <c r="K122" t="str">
        <f t="shared" si="2"/>
        <v/>
      </c>
      <c r="M122" s="43"/>
      <c r="N122" s="43"/>
      <c r="O122" s="44"/>
      <c r="P122" s="43"/>
      <c r="Q122" s="44"/>
    </row>
    <row r="123" spans="1:17" x14ac:dyDescent="0.3">
      <c r="A123" t="s">
        <v>360</v>
      </c>
      <c r="B123" t="s">
        <v>349</v>
      </c>
      <c r="C123" s="6" t="s">
        <v>363</v>
      </c>
      <c r="D123" s="6"/>
      <c r="E123" s="6"/>
      <c r="F123" s="6" t="s">
        <v>259</v>
      </c>
      <c r="G123" s="6"/>
      <c r="I123" s="5" t="str">
        <f t="shared" si="3"/>
        <v>F7</v>
      </c>
      <c r="J123" t="s">
        <v>116</v>
      </c>
      <c r="K123" t="str">
        <f t="shared" si="2"/>
        <v/>
      </c>
      <c r="M123" s="6"/>
      <c r="N123" s="6"/>
      <c r="O123" s="6"/>
      <c r="P123" s="6"/>
      <c r="Q123" s="6"/>
    </row>
    <row r="124" spans="1:17" x14ac:dyDescent="0.3">
      <c r="A124" t="s">
        <v>364</v>
      </c>
      <c r="B124" s="45" t="s">
        <v>349</v>
      </c>
      <c r="C124" s="43" t="s">
        <v>361</v>
      </c>
      <c r="D124" s="44" t="s">
        <v>354</v>
      </c>
      <c r="E124" s="46">
        <v>7</v>
      </c>
      <c r="F124" s="46" t="s">
        <v>365</v>
      </c>
      <c r="G124" s="48"/>
      <c r="I124" s="5" t="str">
        <f t="shared" si="3"/>
        <v>G7</v>
      </c>
      <c r="J124" t="s">
        <v>138</v>
      </c>
      <c r="K124" t="str">
        <f t="shared" si="2"/>
        <v/>
      </c>
      <c r="M124" s="43"/>
      <c r="N124" s="43"/>
      <c r="O124" s="44"/>
      <c r="P124" s="43"/>
      <c r="Q124" s="44"/>
    </row>
    <row r="125" spans="1:17" x14ac:dyDescent="0.3">
      <c r="A125" s="4" t="s">
        <v>364</v>
      </c>
      <c r="B125" s="4" t="s">
        <v>349</v>
      </c>
      <c r="C125" s="3" t="s">
        <v>363</v>
      </c>
      <c r="D125" s="3"/>
      <c r="E125" s="3"/>
      <c r="F125" s="3" t="s">
        <v>366</v>
      </c>
      <c r="G125" s="3"/>
      <c r="I125" s="5" t="str">
        <f t="shared" si="3"/>
        <v>G7</v>
      </c>
      <c r="J125" t="s">
        <v>116</v>
      </c>
      <c r="K125" t="str">
        <f t="shared" si="2"/>
        <v/>
      </c>
      <c r="M125" s="3"/>
      <c r="N125" s="3"/>
      <c r="O125" s="3"/>
      <c r="P125" s="3"/>
      <c r="Q125" s="3"/>
    </row>
    <row r="126" spans="1:17" x14ac:dyDescent="0.3">
      <c r="A126" t="s">
        <v>367</v>
      </c>
      <c r="C126" s="6" t="s">
        <v>368</v>
      </c>
      <c r="D126" s="6"/>
      <c r="E126" s="6"/>
      <c r="F126" s="6"/>
      <c r="G126" s="6" t="s">
        <v>369</v>
      </c>
      <c r="I126" s="5" t="str">
        <f t="shared" si="3"/>
        <v/>
      </c>
      <c r="J126" t="s">
        <v>138</v>
      </c>
      <c r="K126" t="str">
        <f t="shared" si="2"/>
        <v/>
      </c>
      <c r="M126" s="6"/>
      <c r="N126" s="6"/>
      <c r="O126" s="6"/>
      <c r="P126" s="6"/>
      <c r="Q126" s="6"/>
    </row>
    <row r="127" spans="1:17" x14ac:dyDescent="0.3">
      <c r="A127" t="s">
        <v>370</v>
      </c>
      <c r="C127" s="6" t="s">
        <v>371</v>
      </c>
      <c r="D127" s="6"/>
      <c r="E127" s="6"/>
      <c r="F127" s="6"/>
      <c r="G127" s="6" t="s">
        <v>369</v>
      </c>
      <c r="I127" s="5" t="str">
        <f t="shared" si="3"/>
        <v/>
      </c>
      <c r="J127" t="s">
        <v>116</v>
      </c>
      <c r="K127" t="str">
        <f t="shared" si="2"/>
        <v/>
      </c>
      <c r="M127" s="6"/>
      <c r="N127" s="6"/>
      <c r="O127" s="6"/>
      <c r="P127" s="6"/>
      <c r="Q127" s="6"/>
    </row>
    <row r="128" spans="1:17" x14ac:dyDescent="0.3">
      <c r="A128" t="s">
        <v>372</v>
      </c>
      <c r="C128" s="6" t="s">
        <v>373</v>
      </c>
      <c r="D128" s="6"/>
      <c r="E128" s="6"/>
      <c r="F128" s="6"/>
      <c r="G128" s="6" t="s">
        <v>369</v>
      </c>
      <c r="I128" s="5" t="str">
        <f t="shared" si="3"/>
        <v/>
      </c>
      <c r="J128" t="s">
        <v>138</v>
      </c>
      <c r="K128" t="str">
        <f t="shared" si="2"/>
        <v/>
      </c>
      <c r="M128" s="6"/>
      <c r="N128" s="6"/>
      <c r="O128" s="6"/>
      <c r="P128" s="6"/>
      <c r="Q128" s="6"/>
    </row>
    <row r="129" spans="1:17" x14ac:dyDescent="0.3">
      <c r="A129" t="s">
        <v>374</v>
      </c>
      <c r="C129" s="6" t="s">
        <v>375</v>
      </c>
      <c r="D129" s="6"/>
      <c r="E129" s="6"/>
      <c r="F129" s="6"/>
      <c r="G129" s="6" t="s">
        <v>369</v>
      </c>
      <c r="I129" s="5" t="str">
        <f t="shared" si="3"/>
        <v/>
      </c>
      <c r="J129" t="s">
        <v>102</v>
      </c>
      <c r="K129" t="str">
        <f t="shared" si="2"/>
        <v/>
      </c>
      <c r="M129" s="6"/>
      <c r="N129" s="6"/>
      <c r="O129" s="6"/>
      <c r="P129" s="6"/>
      <c r="Q129" s="6"/>
    </row>
    <row r="130" spans="1:17" x14ac:dyDescent="0.3">
      <c r="A130" t="s">
        <v>376</v>
      </c>
      <c r="C130" s="6" t="s">
        <v>377</v>
      </c>
      <c r="D130" s="6"/>
      <c r="E130" s="6"/>
      <c r="F130" s="6"/>
      <c r="G130" s="6" t="s">
        <v>369</v>
      </c>
      <c r="I130" s="5" t="str">
        <f t="shared" si="3"/>
        <v/>
      </c>
      <c r="J130" t="s">
        <v>105</v>
      </c>
      <c r="K130" t="str">
        <f t="shared" ref="K130:K193" si="4">M130 &amp; N130 &amp; O130 &amp; P130 &amp; Q130</f>
        <v/>
      </c>
      <c r="M130" s="6"/>
      <c r="N130" s="6"/>
      <c r="O130" s="6"/>
      <c r="P130" s="6"/>
      <c r="Q130" s="6"/>
    </row>
    <row r="131" spans="1:17" x14ac:dyDescent="0.3">
      <c r="A131" t="s">
        <v>378</v>
      </c>
      <c r="C131" s="6" t="s">
        <v>379</v>
      </c>
      <c r="D131" s="6"/>
      <c r="E131" s="6"/>
      <c r="F131" s="6"/>
      <c r="G131" s="6" t="s">
        <v>369</v>
      </c>
      <c r="I131" s="5" t="str">
        <f t="shared" si="3"/>
        <v/>
      </c>
      <c r="J131" t="s">
        <v>116</v>
      </c>
      <c r="K131" t="str">
        <f t="shared" si="4"/>
        <v/>
      </c>
      <c r="M131" s="6"/>
      <c r="N131" s="6"/>
      <c r="O131" s="6"/>
      <c r="P131" s="6"/>
      <c r="Q131" s="6"/>
    </row>
    <row r="132" spans="1:17" x14ac:dyDescent="0.3">
      <c r="A132" t="s">
        <v>380</v>
      </c>
      <c r="C132" s="6" t="s">
        <v>381</v>
      </c>
      <c r="D132" s="6"/>
      <c r="E132" s="6"/>
      <c r="F132" s="6"/>
      <c r="G132" s="6" t="s">
        <v>369</v>
      </c>
      <c r="I132" s="5" t="str">
        <f t="shared" si="3"/>
        <v/>
      </c>
      <c r="J132" t="s">
        <v>138</v>
      </c>
      <c r="K132" t="str">
        <f t="shared" si="4"/>
        <v/>
      </c>
      <c r="M132" s="6"/>
      <c r="N132" s="6"/>
      <c r="O132" s="6"/>
      <c r="P132" s="6"/>
      <c r="Q132" s="6"/>
    </row>
    <row r="133" spans="1:17" x14ac:dyDescent="0.3">
      <c r="A133" t="s">
        <v>382</v>
      </c>
      <c r="C133" s="6" t="s">
        <v>383</v>
      </c>
      <c r="D133" s="6"/>
      <c r="E133" s="6"/>
      <c r="F133" s="6"/>
      <c r="G133" s="6" t="s">
        <v>369</v>
      </c>
      <c r="I133" s="5" t="str">
        <f t="shared" si="3"/>
        <v/>
      </c>
      <c r="J133" t="s">
        <v>105</v>
      </c>
      <c r="K133" t="str">
        <f t="shared" si="4"/>
        <v/>
      </c>
      <c r="M133" s="6"/>
      <c r="N133" s="6"/>
      <c r="O133" s="6"/>
      <c r="P133" s="6"/>
      <c r="Q133" s="6"/>
    </row>
    <row r="134" spans="1:17" x14ac:dyDescent="0.3">
      <c r="A134" t="s">
        <v>384</v>
      </c>
      <c r="C134" s="6" t="s">
        <v>385</v>
      </c>
      <c r="D134" s="6"/>
      <c r="E134" s="6"/>
      <c r="F134" s="6"/>
      <c r="G134" s="6" t="s">
        <v>369</v>
      </c>
      <c r="I134" s="5" t="str">
        <f t="shared" ref="I134:I197" si="5">RIGHT(F134,1) &amp; LEFT(F134,1)</f>
        <v/>
      </c>
      <c r="J134" t="s">
        <v>138</v>
      </c>
      <c r="K134" t="str">
        <f t="shared" si="4"/>
        <v/>
      </c>
      <c r="M134" s="6"/>
      <c r="N134" s="6"/>
      <c r="O134" s="6"/>
      <c r="P134" s="6"/>
      <c r="Q134" s="6"/>
    </row>
    <row r="135" spans="1:17" x14ac:dyDescent="0.3">
      <c r="A135" t="s">
        <v>386</v>
      </c>
      <c r="C135" s="6" t="s">
        <v>385</v>
      </c>
      <c r="D135" s="6"/>
      <c r="E135" s="6"/>
      <c r="F135" s="6"/>
      <c r="G135" s="6" t="s">
        <v>369</v>
      </c>
      <c r="I135" s="5" t="str">
        <f t="shared" si="5"/>
        <v/>
      </c>
      <c r="J135" t="s">
        <v>105</v>
      </c>
      <c r="K135" t="str">
        <f t="shared" si="4"/>
        <v/>
      </c>
      <c r="M135" s="6"/>
      <c r="N135" s="6"/>
      <c r="O135" s="6"/>
      <c r="P135" s="6"/>
      <c r="Q135" s="6"/>
    </row>
    <row r="136" spans="1:17" x14ac:dyDescent="0.3">
      <c r="A136" t="s">
        <v>387</v>
      </c>
      <c r="B136" t="s">
        <v>349</v>
      </c>
      <c r="C136" s="6" t="s">
        <v>388</v>
      </c>
      <c r="D136" s="6"/>
      <c r="E136" s="6"/>
      <c r="F136" s="6" t="s">
        <v>389</v>
      </c>
      <c r="G136" s="6"/>
      <c r="I136" s="5" t="str">
        <f t="shared" si="5"/>
        <v>C7</v>
      </c>
      <c r="J136" t="s">
        <v>291</v>
      </c>
      <c r="K136" t="str">
        <f t="shared" si="4"/>
        <v/>
      </c>
      <c r="M136" s="6"/>
      <c r="N136" s="6"/>
      <c r="O136" s="6"/>
      <c r="P136" s="6"/>
      <c r="Q136" s="6"/>
    </row>
    <row r="137" spans="1:17" x14ac:dyDescent="0.3">
      <c r="A137" t="s">
        <v>387</v>
      </c>
      <c r="B137" s="45" t="s">
        <v>349</v>
      </c>
      <c r="C137" s="43" t="s">
        <v>390</v>
      </c>
      <c r="D137" s="44" t="s">
        <v>354</v>
      </c>
      <c r="E137" s="46">
        <v>7</v>
      </c>
      <c r="F137" s="46" t="s">
        <v>391</v>
      </c>
      <c r="G137" s="48"/>
      <c r="I137" s="5" t="str">
        <f t="shared" si="5"/>
        <v>C7</v>
      </c>
      <c r="J137" t="s">
        <v>291</v>
      </c>
      <c r="K137" t="str">
        <f t="shared" si="4"/>
        <v/>
      </c>
      <c r="M137" s="43"/>
      <c r="N137" s="43"/>
      <c r="O137" s="44"/>
      <c r="P137" s="43"/>
      <c r="Q137" s="44"/>
    </row>
    <row r="138" spans="1:17" x14ac:dyDescent="0.3">
      <c r="A138" t="s">
        <v>392</v>
      </c>
      <c r="B138" s="19" t="s">
        <v>11</v>
      </c>
      <c r="C138" s="20" t="s">
        <v>395</v>
      </c>
      <c r="D138" s="21" t="s">
        <v>396</v>
      </c>
      <c r="E138" s="10">
        <v>17</v>
      </c>
      <c r="F138" s="10" t="s">
        <v>397</v>
      </c>
      <c r="G138" s="24"/>
      <c r="I138" s="5" t="str">
        <f t="shared" si="5"/>
        <v>B1</v>
      </c>
      <c r="J138" t="s">
        <v>129</v>
      </c>
      <c r="K138" t="str">
        <f t="shared" si="4"/>
        <v>30GBN10AM001</v>
      </c>
      <c r="M138" s="20">
        <v>30</v>
      </c>
      <c r="N138" s="20" t="s">
        <v>393</v>
      </c>
      <c r="O138" s="21" t="s">
        <v>46</v>
      </c>
      <c r="P138" s="20" t="s">
        <v>394</v>
      </c>
      <c r="Q138" s="21" t="s">
        <v>48</v>
      </c>
    </row>
    <row r="139" spans="1:17" x14ac:dyDescent="0.3">
      <c r="A139" t="s">
        <v>398</v>
      </c>
      <c r="B139" s="19" t="s">
        <v>11</v>
      </c>
      <c r="C139" s="20" t="s">
        <v>400</v>
      </c>
      <c r="D139" s="21" t="s">
        <v>396</v>
      </c>
      <c r="E139" s="10">
        <v>16</v>
      </c>
      <c r="F139" s="10" t="s">
        <v>401</v>
      </c>
      <c r="G139" s="24"/>
      <c r="I139" s="5" t="str">
        <f t="shared" si="5"/>
        <v>C1</v>
      </c>
      <c r="J139" t="s">
        <v>402</v>
      </c>
      <c r="K139" t="str">
        <f t="shared" si="4"/>
        <v>30GBN10AP001</v>
      </c>
      <c r="M139" s="20">
        <v>30</v>
      </c>
      <c r="N139" s="20" t="s">
        <v>393</v>
      </c>
      <c r="O139" s="21" t="s">
        <v>46</v>
      </c>
      <c r="P139" s="20" t="s">
        <v>399</v>
      </c>
      <c r="Q139" s="21" t="s">
        <v>48</v>
      </c>
    </row>
    <row r="140" spans="1:17" x14ac:dyDescent="0.3">
      <c r="A140" t="s">
        <v>403</v>
      </c>
      <c r="B140" s="19" t="s">
        <v>11</v>
      </c>
      <c r="C140" s="20" t="s">
        <v>404</v>
      </c>
      <c r="D140" s="21" t="s">
        <v>396</v>
      </c>
      <c r="E140" s="10">
        <v>16</v>
      </c>
      <c r="F140" s="10" t="s">
        <v>405</v>
      </c>
      <c r="G140" s="24"/>
      <c r="I140" s="5" t="str">
        <f t="shared" si="5"/>
        <v>B1</v>
      </c>
      <c r="J140" t="s">
        <v>406</v>
      </c>
      <c r="K140" t="str">
        <f t="shared" si="4"/>
        <v>30GBN10AP002</v>
      </c>
      <c r="M140" s="20">
        <v>30</v>
      </c>
      <c r="N140" s="20" t="s">
        <v>393</v>
      </c>
      <c r="O140" s="21" t="s">
        <v>46</v>
      </c>
      <c r="P140" s="20" t="s">
        <v>399</v>
      </c>
      <c r="Q140" s="21" t="s">
        <v>233</v>
      </c>
    </row>
    <row r="141" spans="1:17" x14ac:dyDescent="0.3">
      <c r="A141" t="s">
        <v>407</v>
      </c>
      <c r="B141" s="19" t="s">
        <v>11</v>
      </c>
      <c r="C141" s="20" t="s">
        <v>408</v>
      </c>
      <c r="D141" s="21" t="s">
        <v>396</v>
      </c>
      <c r="E141" s="10">
        <v>15</v>
      </c>
      <c r="F141" s="10" t="s">
        <v>409</v>
      </c>
      <c r="G141" s="24"/>
      <c r="I141" s="5" t="str">
        <f t="shared" si="5"/>
        <v>G1</v>
      </c>
      <c r="J141" t="s">
        <v>410</v>
      </c>
      <c r="K141" t="str">
        <f t="shared" si="4"/>
        <v>30GBN20AP001</v>
      </c>
      <c r="M141" s="20">
        <v>30</v>
      </c>
      <c r="N141" s="20" t="s">
        <v>393</v>
      </c>
      <c r="O141" s="21" t="s">
        <v>64</v>
      </c>
      <c r="P141" s="20" t="s">
        <v>399</v>
      </c>
      <c r="Q141" s="21" t="s">
        <v>48</v>
      </c>
    </row>
    <row r="142" spans="1:17" x14ac:dyDescent="0.3">
      <c r="A142" t="s">
        <v>411</v>
      </c>
      <c r="B142" s="19" t="s">
        <v>11</v>
      </c>
      <c r="C142" s="20" t="s">
        <v>412</v>
      </c>
      <c r="D142" s="21" t="s">
        <v>396</v>
      </c>
      <c r="E142" s="10">
        <v>14</v>
      </c>
      <c r="F142" s="10" t="s">
        <v>413</v>
      </c>
      <c r="G142" s="24"/>
      <c r="I142" s="5" t="str">
        <f t="shared" si="5"/>
        <v>G1</v>
      </c>
      <c r="J142" t="s">
        <v>102</v>
      </c>
      <c r="K142" t="str">
        <f t="shared" si="4"/>
        <v>30GBN30AP001</v>
      </c>
      <c r="M142" s="20">
        <v>30</v>
      </c>
      <c r="N142" s="20" t="s">
        <v>393</v>
      </c>
      <c r="O142" s="21" t="s">
        <v>37</v>
      </c>
      <c r="P142" s="20" t="s">
        <v>399</v>
      </c>
      <c r="Q142" s="21" t="s">
        <v>48</v>
      </c>
    </row>
    <row r="143" spans="1:17" x14ac:dyDescent="0.3">
      <c r="A143" t="s">
        <v>414</v>
      </c>
      <c r="B143" s="19" t="s">
        <v>11</v>
      </c>
      <c r="C143" s="20" t="s">
        <v>416</v>
      </c>
      <c r="D143" s="21" t="s">
        <v>396</v>
      </c>
      <c r="E143" s="10">
        <v>10</v>
      </c>
      <c r="F143" s="10" t="s">
        <v>417</v>
      </c>
      <c r="G143" s="24"/>
      <c r="I143" s="5" t="str">
        <f t="shared" si="5"/>
        <v>F1</v>
      </c>
      <c r="J143" t="s">
        <v>300</v>
      </c>
      <c r="K143" t="str">
        <f t="shared" si="4"/>
        <v>30GBN50AP001</v>
      </c>
      <c r="M143" s="20">
        <v>30</v>
      </c>
      <c r="N143" s="20" t="s">
        <v>393</v>
      </c>
      <c r="O143" s="21" t="s">
        <v>415</v>
      </c>
      <c r="P143" s="20" t="s">
        <v>399</v>
      </c>
      <c r="Q143" s="21" t="s">
        <v>48</v>
      </c>
    </row>
    <row r="144" spans="1:17" x14ac:dyDescent="0.3">
      <c r="A144" t="s">
        <v>418</v>
      </c>
      <c r="B144" s="9" t="s">
        <v>16</v>
      </c>
      <c r="C144" s="7" t="s">
        <v>421</v>
      </c>
      <c r="D144" s="8" t="s">
        <v>422</v>
      </c>
      <c r="E144" s="10"/>
      <c r="F144" s="10"/>
      <c r="G144" s="11" t="s">
        <v>423</v>
      </c>
      <c r="I144" s="5" t="str">
        <f t="shared" si="5"/>
        <v/>
      </c>
      <c r="J144" t="s">
        <v>89</v>
      </c>
      <c r="K144" t="str">
        <f t="shared" si="4"/>
        <v>30GCF13AP010</v>
      </c>
      <c r="M144" s="7">
        <v>30</v>
      </c>
      <c r="N144" s="7" t="s">
        <v>419</v>
      </c>
      <c r="O144" s="8" t="s">
        <v>420</v>
      </c>
      <c r="P144" s="7" t="s">
        <v>399</v>
      </c>
      <c r="Q144" s="8" t="s">
        <v>82</v>
      </c>
    </row>
    <row r="145" spans="1:17" x14ac:dyDescent="0.3">
      <c r="A145" t="s">
        <v>424</v>
      </c>
      <c r="B145" s="9" t="s">
        <v>16</v>
      </c>
      <c r="C145" s="7" t="s">
        <v>426</v>
      </c>
      <c r="D145" s="8" t="s">
        <v>422</v>
      </c>
      <c r="E145" s="10"/>
      <c r="F145" s="10"/>
      <c r="G145" s="11" t="s">
        <v>423</v>
      </c>
      <c r="I145" s="5" t="str">
        <f t="shared" si="5"/>
        <v/>
      </c>
      <c r="J145" t="s">
        <v>6</v>
      </c>
      <c r="K145" t="str">
        <f t="shared" si="4"/>
        <v>30GCF14AP010</v>
      </c>
      <c r="M145" s="7">
        <v>30</v>
      </c>
      <c r="N145" s="7" t="s">
        <v>419</v>
      </c>
      <c r="O145" s="8" t="s">
        <v>425</v>
      </c>
      <c r="P145" s="7" t="s">
        <v>399</v>
      </c>
      <c r="Q145" s="8" t="s">
        <v>82</v>
      </c>
    </row>
    <row r="146" spans="1:17" x14ac:dyDescent="0.3">
      <c r="A146" t="s">
        <v>427</v>
      </c>
      <c r="B146" s="9" t="s">
        <v>16</v>
      </c>
      <c r="C146" s="7" t="s">
        <v>429</v>
      </c>
      <c r="D146" s="8" t="s">
        <v>430</v>
      </c>
      <c r="E146" s="10"/>
      <c r="F146" s="10"/>
      <c r="G146" s="11" t="s">
        <v>423</v>
      </c>
      <c r="I146" s="5" t="str">
        <f t="shared" si="5"/>
        <v/>
      </c>
      <c r="J146" t="s">
        <v>6</v>
      </c>
      <c r="K146" t="str">
        <f t="shared" si="4"/>
        <v>30GCF53AP010</v>
      </c>
      <c r="M146" s="7">
        <v>30</v>
      </c>
      <c r="N146" s="7" t="s">
        <v>419</v>
      </c>
      <c r="O146" s="8" t="s">
        <v>428</v>
      </c>
      <c r="P146" s="7" t="s">
        <v>399</v>
      </c>
      <c r="Q146" s="8" t="s">
        <v>82</v>
      </c>
    </row>
    <row r="147" spans="1:17" x14ac:dyDescent="0.3">
      <c r="A147" t="s">
        <v>431</v>
      </c>
      <c r="B147" s="9" t="s">
        <v>16</v>
      </c>
      <c r="C147" s="7" t="s">
        <v>433</v>
      </c>
      <c r="D147" s="8" t="s">
        <v>430</v>
      </c>
      <c r="E147" s="10"/>
      <c r="F147" s="10"/>
      <c r="G147" s="11" t="s">
        <v>423</v>
      </c>
      <c r="I147" s="5" t="str">
        <f t="shared" si="5"/>
        <v/>
      </c>
      <c r="J147" t="s">
        <v>6</v>
      </c>
      <c r="K147" t="str">
        <f t="shared" si="4"/>
        <v>30GCF54AP010</v>
      </c>
      <c r="M147" s="7">
        <v>30</v>
      </c>
      <c r="N147" s="7" t="s">
        <v>419</v>
      </c>
      <c r="O147" s="8" t="s">
        <v>432</v>
      </c>
      <c r="P147" s="7" t="s">
        <v>399</v>
      </c>
      <c r="Q147" s="8" t="s">
        <v>82</v>
      </c>
    </row>
    <row r="148" spans="1:17" x14ac:dyDescent="0.3">
      <c r="A148" t="s">
        <v>434</v>
      </c>
      <c r="B148" s="9" t="s">
        <v>16</v>
      </c>
      <c r="C148" s="7" t="s">
        <v>437</v>
      </c>
      <c r="D148" s="8" t="s">
        <v>438</v>
      </c>
      <c r="E148" s="10"/>
      <c r="F148" s="10"/>
      <c r="G148" s="11" t="s">
        <v>423</v>
      </c>
      <c r="I148" s="5" t="str">
        <f t="shared" si="5"/>
        <v/>
      </c>
      <c r="J148" t="s">
        <v>6</v>
      </c>
      <c r="K148" t="str">
        <f t="shared" si="4"/>
        <v>30GCF63AT010</v>
      </c>
      <c r="M148" s="7">
        <v>30</v>
      </c>
      <c r="N148" s="7" t="s">
        <v>419</v>
      </c>
      <c r="O148" s="8" t="s">
        <v>435</v>
      </c>
      <c r="P148" s="7" t="s">
        <v>436</v>
      </c>
      <c r="Q148" s="8" t="s">
        <v>82</v>
      </c>
    </row>
    <row r="149" spans="1:17" x14ac:dyDescent="0.3">
      <c r="A149" t="s">
        <v>439</v>
      </c>
      <c r="B149" s="9" t="s">
        <v>16</v>
      </c>
      <c r="C149" s="7" t="s">
        <v>437</v>
      </c>
      <c r="D149" s="8" t="s">
        <v>438</v>
      </c>
      <c r="E149" s="10"/>
      <c r="F149" s="10"/>
      <c r="G149" s="11" t="s">
        <v>423</v>
      </c>
      <c r="I149" s="5" t="str">
        <f t="shared" si="5"/>
        <v/>
      </c>
      <c r="J149" t="s">
        <v>6</v>
      </c>
      <c r="K149" t="str">
        <f t="shared" si="4"/>
        <v>30GCF64AT010</v>
      </c>
      <c r="M149" s="7">
        <v>30</v>
      </c>
      <c r="N149" s="7" t="s">
        <v>419</v>
      </c>
      <c r="O149" s="8" t="s">
        <v>440</v>
      </c>
      <c r="P149" s="7" t="s">
        <v>436</v>
      </c>
      <c r="Q149" s="8" t="s">
        <v>82</v>
      </c>
    </row>
    <row r="150" spans="1:17" x14ac:dyDescent="0.3">
      <c r="A150" t="s">
        <v>441</v>
      </c>
      <c r="B150" s="9" t="s">
        <v>16</v>
      </c>
      <c r="C150" s="7" t="s">
        <v>445</v>
      </c>
      <c r="D150" s="8" t="s">
        <v>446</v>
      </c>
      <c r="E150" s="10">
        <v>2</v>
      </c>
      <c r="F150" s="10" t="s">
        <v>339</v>
      </c>
      <c r="G150" s="11"/>
      <c r="I150" s="5" t="str">
        <f t="shared" si="5"/>
        <v>E2</v>
      </c>
      <c r="J150" t="s">
        <v>6</v>
      </c>
      <c r="K150" t="str">
        <f t="shared" si="4"/>
        <v>30GCL01AH010</v>
      </c>
      <c r="M150" s="7">
        <v>30</v>
      </c>
      <c r="N150" s="7" t="s">
        <v>442</v>
      </c>
      <c r="O150" s="8" t="s">
        <v>443</v>
      </c>
      <c r="P150" s="7" t="s">
        <v>444</v>
      </c>
      <c r="Q150" s="8" t="s">
        <v>82</v>
      </c>
    </row>
    <row r="151" spans="1:17" x14ac:dyDescent="0.3">
      <c r="A151" t="s">
        <v>447</v>
      </c>
      <c r="B151" s="9" t="s">
        <v>16</v>
      </c>
      <c r="C151" s="7" t="s">
        <v>449</v>
      </c>
      <c r="D151" s="8" t="s">
        <v>446</v>
      </c>
      <c r="E151" s="10">
        <v>2</v>
      </c>
      <c r="F151" s="10" t="s">
        <v>450</v>
      </c>
      <c r="G151" s="11"/>
      <c r="I151" s="5" t="str">
        <f t="shared" si="5"/>
        <v>F2</v>
      </c>
      <c r="J151" t="s">
        <v>6</v>
      </c>
      <c r="K151" t="str">
        <f t="shared" si="4"/>
        <v>30GCL02AH010</v>
      </c>
      <c r="M151" s="7">
        <v>30</v>
      </c>
      <c r="N151" s="7" t="s">
        <v>442</v>
      </c>
      <c r="O151" s="8" t="s">
        <v>448</v>
      </c>
      <c r="P151" s="7" t="s">
        <v>444</v>
      </c>
      <c r="Q151" s="8" t="s">
        <v>82</v>
      </c>
    </row>
    <row r="152" spans="1:17" x14ac:dyDescent="0.3">
      <c r="A152" t="s">
        <v>451</v>
      </c>
      <c r="B152" s="9" t="s">
        <v>16</v>
      </c>
      <c r="C152" s="7" t="s">
        <v>453</v>
      </c>
      <c r="D152" s="8" t="s">
        <v>430</v>
      </c>
      <c r="E152" s="10"/>
      <c r="F152" s="10"/>
      <c r="G152" s="11" t="s">
        <v>423</v>
      </c>
      <c r="I152" s="5" t="str">
        <f t="shared" si="5"/>
        <v/>
      </c>
      <c r="J152" t="s">
        <v>6</v>
      </c>
      <c r="K152" t="str">
        <f t="shared" si="4"/>
        <v>30GCN11AP010</v>
      </c>
      <c r="M152" s="7">
        <v>30</v>
      </c>
      <c r="N152" s="7" t="s">
        <v>452</v>
      </c>
      <c r="O152" s="8" t="s">
        <v>264</v>
      </c>
      <c r="P152" s="7" t="s">
        <v>399</v>
      </c>
      <c r="Q152" s="8" t="s">
        <v>82</v>
      </c>
    </row>
    <row r="153" spans="1:17" x14ac:dyDescent="0.3">
      <c r="A153" t="s">
        <v>454</v>
      </c>
      <c r="B153" s="9" t="s">
        <v>16</v>
      </c>
      <c r="C153" s="7" t="s">
        <v>455</v>
      </c>
      <c r="D153" s="8" t="s">
        <v>430</v>
      </c>
      <c r="E153" s="10"/>
      <c r="F153" s="10"/>
      <c r="G153" s="11" t="s">
        <v>423</v>
      </c>
      <c r="I153" s="5" t="str">
        <f t="shared" si="5"/>
        <v/>
      </c>
      <c r="J153" t="s">
        <v>6</v>
      </c>
      <c r="K153" t="str">
        <f t="shared" si="4"/>
        <v>30GCN12AP010</v>
      </c>
      <c r="M153" s="7">
        <v>30</v>
      </c>
      <c r="N153" s="7" t="s">
        <v>452</v>
      </c>
      <c r="O153" s="8" t="s">
        <v>270</v>
      </c>
      <c r="P153" s="7" t="s">
        <v>399</v>
      </c>
      <c r="Q153" s="8" t="s">
        <v>82</v>
      </c>
    </row>
    <row r="154" spans="1:17" x14ac:dyDescent="0.3">
      <c r="A154" t="s">
        <v>456</v>
      </c>
      <c r="B154" s="9" t="s">
        <v>16</v>
      </c>
      <c r="C154" s="7" t="s">
        <v>457</v>
      </c>
      <c r="D154" s="8" t="s">
        <v>430</v>
      </c>
      <c r="E154" s="10"/>
      <c r="F154" s="10"/>
      <c r="G154" s="11" t="s">
        <v>423</v>
      </c>
      <c r="I154" s="5" t="str">
        <f t="shared" si="5"/>
        <v/>
      </c>
      <c r="J154" t="s">
        <v>6</v>
      </c>
      <c r="K154" t="str">
        <f t="shared" si="4"/>
        <v>30GCN21AP010</v>
      </c>
      <c r="M154" s="7">
        <v>30</v>
      </c>
      <c r="N154" s="7" t="s">
        <v>452</v>
      </c>
      <c r="O154" s="8" t="s">
        <v>280</v>
      </c>
      <c r="P154" s="7" t="s">
        <v>399</v>
      </c>
      <c r="Q154" s="8" t="s">
        <v>82</v>
      </c>
    </row>
    <row r="155" spans="1:17" x14ac:dyDescent="0.3">
      <c r="A155" t="s">
        <v>458</v>
      </c>
      <c r="B155" s="9" t="s">
        <v>16</v>
      </c>
      <c r="C155" s="7" t="s">
        <v>460</v>
      </c>
      <c r="D155" s="8" t="s">
        <v>430</v>
      </c>
      <c r="E155" s="10"/>
      <c r="F155" s="10"/>
      <c r="G155" s="11" t="s">
        <v>423</v>
      </c>
      <c r="I155" s="5" t="str">
        <f t="shared" si="5"/>
        <v/>
      </c>
      <c r="J155" t="s">
        <v>6</v>
      </c>
      <c r="K155" t="str">
        <f t="shared" si="4"/>
        <v>30GCN22AP010</v>
      </c>
      <c r="M155" s="7">
        <v>30</v>
      </c>
      <c r="N155" s="7" t="s">
        <v>452</v>
      </c>
      <c r="O155" s="8" t="s">
        <v>459</v>
      </c>
      <c r="P155" s="7" t="s">
        <v>399</v>
      </c>
      <c r="Q155" s="8" t="s">
        <v>82</v>
      </c>
    </row>
    <row r="156" spans="1:17" x14ac:dyDescent="0.3">
      <c r="A156" t="s">
        <v>461</v>
      </c>
      <c r="B156" s="9" t="s">
        <v>16</v>
      </c>
      <c r="C156" s="7" t="s">
        <v>462</v>
      </c>
      <c r="D156" s="8" t="s">
        <v>430</v>
      </c>
      <c r="E156" s="10"/>
      <c r="F156" s="10"/>
      <c r="G156" s="11" t="s">
        <v>423</v>
      </c>
      <c r="I156" s="5" t="str">
        <f t="shared" si="5"/>
        <v/>
      </c>
      <c r="J156" t="s">
        <v>6</v>
      </c>
      <c r="K156" t="str">
        <f t="shared" si="4"/>
        <v>30GCN31AP010</v>
      </c>
      <c r="M156" s="7">
        <v>30</v>
      </c>
      <c r="N156" s="7" t="s">
        <v>452</v>
      </c>
      <c r="O156" s="8" t="s">
        <v>286</v>
      </c>
      <c r="P156" s="7" t="s">
        <v>399</v>
      </c>
      <c r="Q156" s="8" t="s">
        <v>82</v>
      </c>
    </row>
    <row r="157" spans="1:17" x14ac:dyDescent="0.3">
      <c r="A157" t="s">
        <v>463</v>
      </c>
      <c r="B157" s="9" t="s">
        <v>16</v>
      </c>
      <c r="C157" s="7" t="s">
        <v>465</v>
      </c>
      <c r="D157" s="8" t="s">
        <v>430</v>
      </c>
      <c r="E157" s="10"/>
      <c r="F157" s="10"/>
      <c r="G157" s="11" t="s">
        <v>423</v>
      </c>
      <c r="I157" s="5" t="str">
        <f t="shared" si="5"/>
        <v/>
      </c>
      <c r="J157" t="s">
        <v>6</v>
      </c>
      <c r="K157" t="str">
        <f t="shared" si="4"/>
        <v>30GCN32AP010</v>
      </c>
      <c r="M157" s="7">
        <v>30</v>
      </c>
      <c r="N157" s="7" t="s">
        <v>452</v>
      </c>
      <c r="O157" s="8" t="s">
        <v>464</v>
      </c>
      <c r="P157" s="7" t="s">
        <v>399</v>
      </c>
      <c r="Q157" s="8" t="s">
        <v>82</v>
      </c>
    </row>
    <row r="158" spans="1:17" x14ac:dyDescent="0.3">
      <c r="A158" t="s">
        <v>466</v>
      </c>
      <c r="B158" s="9" t="s">
        <v>16</v>
      </c>
      <c r="C158" s="7" t="s">
        <v>468</v>
      </c>
      <c r="D158" s="8" t="s">
        <v>430</v>
      </c>
      <c r="E158" s="10"/>
      <c r="F158" s="10"/>
      <c r="G158" s="11" t="s">
        <v>423</v>
      </c>
      <c r="I158" s="5" t="str">
        <f t="shared" si="5"/>
        <v/>
      </c>
      <c r="J158" t="s">
        <v>6</v>
      </c>
      <c r="K158" t="str">
        <f t="shared" si="4"/>
        <v>30GCP10AH001</v>
      </c>
      <c r="M158" s="7">
        <v>30</v>
      </c>
      <c r="N158" s="7" t="s">
        <v>467</v>
      </c>
      <c r="O158" s="8" t="s">
        <v>46</v>
      </c>
      <c r="P158" s="7" t="s">
        <v>444</v>
      </c>
      <c r="Q158" s="8" t="s">
        <v>48</v>
      </c>
    </row>
    <row r="159" spans="1:17" x14ac:dyDescent="0.3">
      <c r="A159" t="s">
        <v>469</v>
      </c>
      <c r="B159" s="9" t="s">
        <v>16</v>
      </c>
      <c r="C159" s="7" t="s">
        <v>470</v>
      </c>
      <c r="D159" s="8" t="s">
        <v>430</v>
      </c>
      <c r="E159" s="10"/>
      <c r="F159" s="10"/>
      <c r="G159" s="11" t="s">
        <v>423</v>
      </c>
      <c r="I159" s="5" t="str">
        <f t="shared" si="5"/>
        <v/>
      </c>
      <c r="J159" t="s">
        <v>6</v>
      </c>
      <c r="K159" t="str">
        <f t="shared" si="4"/>
        <v>30GCP10AM001</v>
      </c>
      <c r="M159" s="7">
        <v>30</v>
      </c>
      <c r="N159" s="7" t="s">
        <v>467</v>
      </c>
      <c r="O159" s="8" t="s">
        <v>46</v>
      </c>
      <c r="P159" s="7" t="s">
        <v>394</v>
      </c>
      <c r="Q159" s="8" t="s">
        <v>48</v>
      </c>
    </row>
    <row r="160" spans="1:17" x14ac:dyDescent="0.3">
      <c r="A160" t="s">
        <v>471</v>
      </c>
      <c r="B160" s="9" t="s">
        <v>16</v>
      </c>
      <c r="C160" s="7" t="s">
        <v>472</v>
      </c>
      <c r="D160" s="8" t="s">
        <v>430</v>
      </c>
      <c r="E160" s="10"/>
      <c r="F160" s="10"/>
      <c r="G160" s="11" t="s">
        <v>423</v>
      </c>
      <c r="I160" s="5" t="str">
        <f t="shared" si="5"/>
        <v/>
      </c>
      <c r="J160" t="s">
        <v>6</v>
      </c>
      <c r="K160" t="str">
        <f t="shared" si="4"/>
        <v>30GCP12AP010</v>
      </c>
      <c r="M160" s="7">
        <v>30</v>
      </c>
      <c r="N160" s="7" t="s">
        <v>467</v>
      </c>
      <c r="O160" s="8" t="s">
        <v>270</v>
      </c>
      <c r="P160" s="7" t="s">
        <v>399</v>
      </c>
      <c r="Q160" s="8" t="s">
        <v>82</v>
      </c>
    </row>
    <row r="161" spans="1:17" x14ac:dyDescent="0.3">
      <c r="A161" t="s">
        <v>473</v>
      </c>
      <c r="B161" s="9" t="s">
        <v>16</v>
      </c>
      <c r="C161" s="7" t="s">
        <v>475</v>
      </c>
      <c r="D161" s="8" t="s">
        <v>476</v>
      </c>
      <c r="E161" s="10">
        <v>2</v>
      </c>
      <c r="F161" s="10" t="s">
        <v>477</v>
      </c>
      <c r="G161" s="11"/>
      <c r="I161" s="5" t="str">
        <f t="shared" si="5"/>
        <v>A2</v>
      </c>
      <c r="J161" t="s">
        <v>6</v>
      </c>
      <c r="K161" t="str">
        <f t="shared" si="4"/>
        <v>30GHC01AP001</v>
      </c>
      <c r="M161" s="7">
        <v>30</v>
      </c>
      <c r="N161" s="7" t="s">
        <v>474</v>
      </c>
      <c r="O161" s="8" t="s">
        <v>443</v>
      </c>
      <c r="P161" s="7" t="s">
        <v>399</v>
      </c>
      <c r="Q161" s="8" t="s">
        <v>48</v>
      </c>
    </row>
    <row r="162" spans="1:17" x14ac:dyDescent="0.3">
      <c r="A162" t="s">
        <v>478</v>
      </c>
      <c r="B162" s="9" t="s">
        <v>16</v>
      </c>
      <c r="C162" s="7" t="s">
        <v>479</v>
      </c>
      <c r="D162" s="8" t="s">
        <v>476</v>
      </c>
      <c r="E162" s="10">
        <v>3</v>
      </c>
      <c r="F162" s="10" t="s">
        <v>345</v>
      </c>
      <c r="G162" s="11"/>
      <c r="I162" s="5" t="str">
        <f t="shared" si="5"/>
        <v>A3</v>
      </c>
      <c r="J162" t="s">
        <v>6</v>
      </c>
      <c r="K162" t="str">
        <f t="shared" si="4"/>
        <v>30GHC01AP002</v>
      </c>
      <c r="M162" s="7">
        <v>30</v>
      </c>
      <c r="N162" s="7" t="s">
        <v>474</v>
      </c>
      <c r="O162" s="8" t="s">
        <v>443</v>
      </c>
      <c r="P162" s="7" t="s">
        <v>399</v>
      </c>
      <c r="Q162" s="8" t="s">
        <v>233</v>
      </c>
    </row>
    <row r="163" spans="1:17" x14ac:dyDescent="0.3">
      <c r="A163" t="s">
        <v>480</v>
      </c>
      <c r="B163" s="9" t="s">
        <v>16</v>
      </c>
      <c r="C163" s="7" t="s">
        <v>482</v>
      </c>
      <c r="D163" s="8" t="s">
        <v>476</v>
      </c>
      <c r="E163" s="10">
        <v>2</v>
      </c>
      <c r="F163" s="10" t="s">
        <v>483</v>
      </c>
      <c r="G163" s="11"/>
      <c r="I163" s="5" t="str">
        <f t="shared" si="5"/>
        <v>L2</v>
      </c>
      <c r="J163" t="s">
        <v>6</v>
      </c>
      <c r="K163" t="str">
        <f t="shared" si="4"/>
        <v>30GHC05AP010</v>
      </c>
      <c r="M163" s="7">
        <v>30</v>
      </c>
      <c r="N163" s="7" t="s">
        <v>474</v>
      </c>
      <c r="O163" s="8" t="s">
        <v>481</v>
      </c>
      <c r="P163" s="7" t="s">
        <v>399</v>
      </c>
      <c r="Q163" s="8" t="s">
        <v>82</v>
      </c>
    </row>
    <row r="164" spans="1:17" x14ac:dyDescent="0.3">
      <c r="A164" t="s">
        <v>484</v>
      </c>
      <c r="B164" t="s">
        <v>349</v>
      </c>
      <c r="C164" s="6" t="s">
        <v>485</v>
      </c>
      <c r="D164" s="6"/>
      <c r="E164" s="6"/>
      <c r="F164" s="6" t="s">
        <v>340</v>
      </c>
      <c r="G164" s="6"/>
      <c r="I164" s="5" t="str">
        <f t="shared" si="5"/>
        <v>E2</v>
      </c>
      <c r="J164" t="s">
        <v>6</v>
      </c>
      <c r="K164" t="str">
        <f t="shared" si="4"/>
        <v/>
      </c>
      <c r="M164" s="6"/>
      <c r="N164" s="6"/>
      <c r="O164" s="6"/>
      <c r="P164" s="6"/>
      <c r="Q164" s="6"/>
    </row>
    <row r="165" spans="1:17" x14ac:dyDescent="0.3">
      <c r="A165" t="s">
        <v>484</v>
      </c>
      <c r="B165" s="45" t="s">
        <v>349</v>
      </c>
      <c r="C165" s="43" t="s">
        <v>487</v>
      </c>
      <c r="D165" s="44" t="s">
        <v>488</v>
      </c>
      <c r="E165" s="46">
        <v>2</v>
      </c>
      <c r="F165" s="46" t="s">
        <v>339</v>
      </c>
      <c r="G165" s="48"/>
      <c r="I165" s="5" t="str">
        <f t="shared" si="5"/>
        <v>E2</v>
      </c>
      <c r="J165" t="s">
        <v>6</v>
      </c>
      <c r="K165" t="str">
        <f t="shared" si="4"/>
        <v>30GHE01AP010</v>
      </c>
      <c r="M165" s="43">
        <v>30</v>
      </c>
      <c r="N165" s="43" t="s">
        <v>486</v>
      </c>
      <c r="O165" s="44" t="s">
        <v>443</v>
      </c>
      <c r="P165" s="43" t="s">
        <v>399</v>
      </c>
      <c r="Q165" s="44" t="s">
        <v>82</v>
      </c>
    </row>
    <row r="166" spans="1:17" x14ac:dyDescent="0.3">
      <c r="A166" s="4" t="s">
        <v>489</v>
      </c>
      <c r="B166" s="4" t="s">
        <v>349</v>
      </c>
      <c r="C166" s="3" t="s">
        <v>490</v>
      </c>
      <c r="D166" s="3"/>
      <c r="E166" s="3"/>
      <c r="F166" s="3" t="s">
        <v>491</v>
      </c>
      <c r="G166" s="3"/>
      <c r="I166" s="5" t="str">
        <f t="shared" si="5"/>
        <v>E3</v>
      </c>
      <c r="J166" t="s">
        <v>6</v>
      </c>
      <c r="K166" t="str">
        <f t="shared" si="4"/>
        <v/>
      </c>
      <c r="M166" s="3"/>
      <c r="N166" s="3"/>
      <c r="O166" s="3"/>
      <c r="P166" s="3"/>
      <c r="Q166" s="3"/>
    </row>
    <row r="167" spans="1:17" x14ac:dyDescent="0.3">
      <c r="A167" t="s">
        <v>489</v>
      </c>
      <c r="B167" s="45" t="s">
        <v>349</v>
      </c>
      <c r="C167" s="43" t="s">
        <v>487</v>
      </c>
      <c r="D167" s="44" t="s">
        <v>488</v>
      </c>
      <c r="E167" s="46">
        <v>3</v>
      </c>
      <c r="F167" s="46" t="s">
        <v>492</v>
      </c>
      <c r="G167" s="48"/>
      <c r="I167" s="5" t="str">
        <f t="shared" si="5"/>
        <v>E3</v>
      </c>
      <c r="J167" t="s">
        <v>6</v>
      </c>
      <c r="K167" t="str">
        <f t="shared" si="4"/>
        <v>30GHE01AP011</v>
      </c>
      <c r="M167" s="43">
        <v>30</v>
      </c>
      <c r="N167" s="43" t="s">
        <v>486</v>
      </c>
      <c r="O167" s="44" t="s">
        <v>443</v>
      </c>
      <c r="P167" s="43" t="s">
        <v>399</v>
      </c>
      <c r="Q167" s="44" t="s">
        <v>214</v>
      </c>
    </row>
    <row r="168" spans="1:17" x14ac:dyDescent="0.3">
      <c r="A168" t="s">
        <v>493</v>
      </c>
      <c r="B168" t="s">
        <v>349</v>
      </c>
      <c r="C168" s="6" t="s">
        <v>494</v>
      </c>
      <c r="D168" s="6"/>
      <c r="E168" s="6"/>
      <c r="F168" s="6" t="s">
        <v>495</v>
      </c>
      <c r="G168" s="6"/>
      <c r="I168" s="5" t="str">
        <f t="shared" si="5"/>
        <v>C9</v>
      </c>
      <c r="J168" t="s">
        <v>496</v>
      </c>
      <c r="K168" t="str">
        <f t="shared" si="4"/>
        <v/>
      </c>
      <c r="M168" s="6"/>
      <c r="N168" s="6"/>
      <c r="O168" s="6"/>
      <c r="P168" s="6"/>
      <c r="Q168" s="6"/>
    </row>
    <row r="169" spans="1:17" x14ac:dyDescent="0.3">
      <c r="A169" t="s">
        <v>493</v>
      </c>
      <c r="B169" s="45" t="s">
        <v>349</v>
      </c>
      <c r="C169" s="43" t="s">
        <v>487</v>
      </c>
      <c r="D169" s="44" t="s">
        <v>488</v>
      </c>
      <c r="E169" s="46">
        <v>9</v>
      </c>
      <c r="F169" s="46" t="s">
        <v>497</v>
      </c>
      <c r="G169" s="48"/>
      <c r="I169" s="5" t="str">
        <f t="shared" si="5"/>
        <v>C9</v>
      </c>
      <c r="J169" t="s">
        <v>105</v>
      </c>
      <c r="K169" t="str">
        <f t="shared" si="4"/>
        <v>30GHE01AP012</v>
      </c>
      <c r="M169" s="43">
        <v>30</v>
      </c>
      <c r="N169" s="43" t="s">
        <v>486</v>
      </c>
      <c r="O169" s="44" t="s">
        <v>443</v>
      </c>
      <c r="P169" s="43" t="s">
        <v>399</v>
      </c>
      <c r="Q169" s="44" t="s">
        <v>219</v>
      </c>
    </row>
    <row r="170" spans="1:17" x14ac:dyDescent="0.3">
      <c r="A170" s="4" t="s">
        <v>498</v>
      </c>
      <c r="B170" s="4" t="s">
        <v>349</v>
      </c>
      <c r="C170" s="3" t="s">
        <v>499</v>
      </c>
      <c r="D170" s="3"/>
      <c r="E170" s="3"/>
      <c r="F170" s="3" t="s">
        <v>500</v>
      </c>
      <c r="G170" s="3"/>
      <c r="I170" s="5" t="str">
        <f t="shared" si="5"/>
        <v>D9</v>
      </c>
      <c r="J170" t="s">
        <v>129</v>
      </c>
      <c r="K170" t="str">
        <f t="shared" si="4"/>
        <v/>
      </c>
      <c r="M170" s="3"/>
      <c r="N170" s="3"/>
      <c r="O170" s="3"/>
      <c r="P170" s="3"/>
      <c r="Q170" s="3"/>
    </row>
    <row r="171" spans="1:17" x14ac:dyDescent="0.3">
      <c r="A171" t="s">
        <v>498</v>
      </c>
      <c r="B171" s="45" t="s">
        <v>349</v>
      </c>
      <c r="C171" s="43" t="s">
        <v>487</v>
      </c>
      <c r="D171" s="44" t="s">
        <v>488</v>
      </c>
      <c r="E171" s="46">
        <v>9</v>
      </c>
      <c r="F171" s="46" t="s">
        <v>502</v>
      </c>
      <c r="G171" s="48"/>
      <c r="I171" s="5" t="str">
        <f t="shared" si="5"/>
        <v>D9</v>
      </c>
      <c r="J171" t="s">
        <v>503</v>
      </c>
      <c r="K171" t="str">
        <f t="shared" si="4"/>
        <v>30GHE01AP013</v>
      </c>
      <c r="M171" s="43">
        <v>30</v>
      </c>
      <c r="N171" s="43" t="s">
        <v>486</v>
      </c>
      <c r="O171" s="44" t="s">
        <v>443</v>
      </c>
      <c r="P171" s="43" t="s">
        <v>399</v>
      </c>
      <c r="Q171" s="44" t="s">
        <v>501</v>
      </c>
    </row>
    <row r="172" spans="1:17" x14ac:dyDescent="0.3">
      <c r="A172" t="s">
        <v>504</v>
      </c>
      <c r="B172" s="45" t="s">
        <v>349</v>
      </c>
      <c r="C172" s="43" t="s">
        <v>506</v>
      </c>
      <c r="D172" s="44" t="s">
        <v>488</v>
      </c>
      <c r="E172" s="46">
        <v>8</v>
      </c>
      <c r="F172" s="46" t="s">
        <v>330</v>
      </c>
      <c r="G172" s="48"/>
      <c r="I172" s="5" t="str">
        <f t="shared" si="5"/>
        <v>B8</v>
      </c>
      <c r="J172" t="s">
        <v>89</v>
      </c>
      <c r="K172" t="str">
        <f t="shared" si="4"/>
        <v>30GHE06AP010</v>
      </c>
      <c r="M172" s="43">
        <v>30</v>
      </c>
      <c r="N172" s="43" t="s">
        <v>486</v>
      </c>
      <c r="O172" s="44" t="s">
        <v>505</v>
      </c>
      <c r="P172" s="43" t="s">
        <v>399</v>
      </c>
      <c r="Q172" s="44" t="s">
        <v>82</v>
      </c>
    </row>
    <row r="173" spans="1:17" x14ac:dyDescent="0.3">
      <c r="A173" t="s">
        <v>504</v>
      </c>
      <c r="B173" t="s">
        <v>349</v>
      </c>
      <c r="C173" s="6" t="s">
        <v>507</v>
      </c>
      <c r="D173" s="6"/>
      <c r="E173" s="6"/>
      <c r="F173" s="6" t="s">
        <v>238</v>
      </c>
      <c r="G173" s="6"/>
      <c r="I173" s="5" t="str">
        <f t="shared" si="5"/>
        <v>B8</v>
      </c>
      <c r="J173" t="s">
        <v>116</v>
      </c>
      <c r="K173" t="str">
        <f t="shared" si="4"/>
        <v/>
      </c>
      <c r="M173" s="6"/>
      <c r="N173" s="6"/>
      <c r="O173" s="6"/>
      <c r="P173" s="6"/>
      <c r="Q173" s="6"/>
    </row>
    <row r="174" spans="1:17" x14ac:dyDescent="0.3">
      <c r="A174" t="s">
        <v>508</v>
      </c>
      <c r="B174" s="45" t="s">
        <v>349</v>
      </c>
      <c r="C174" s="43" t="s">
        <v>506</v>
      </c>
      <c r="D174" s="44" t="s">
        <v>488</v>
      </c>
      <c r="E174" s="46">
        <v>8</v>
      </c>
      <c r="F174" s="46" t="s">
        <v>509</v>
      </c>
      <c r="G174" s="48"/>
      <c r="I174" s="5" t="str">
        <f t="shared" si="5"/>
        <v>C8</v>
      </c>
      <c r="J174" t="s">
        <v>53</v>
      </c>
      <c r="K174" t="str">
        <f t="shared" si="4"/>
        <v>30GHE06AP011</v>
      </c>
      <c r="M174" s="43">
        <v>30</v>
      </c>
      <c r="N174" s="43" t="s">
        <v>486</v>
      </c>
      <c r="O174" s="44" t="s">
        <v>505</v>
      </c>
      <c r="P174" s="43" t="s">
        <v>399</v>
      </c>
      <c r="Q174" s="44" t="s">
        <v>214</v>
      </c>
    </row>
    <row r="175" spans="1:17" x14ac:dyDescent="0.3">
      <c r="A175" s="4" t="s">
        <v>508</v>
      </c>
      <c r="B175" s="4" t="s">
        <v>349</v>
      </c>
      <c r="C175" s="3" t="s">
        <v>510</v>
      </c>
      <c r="D175" s="3"/>
      <c r="E175" s="3"/>
      <c r="F175" s="3" t="s">
        <v>511</v>
      </c>
      <c r="G175" s="3"/>
      <c r="I175" s="5" t="str">
        <f t="shared" si="5"/>
        <v>C8</v>
      </c>
      <c r="J175" t="s">
        <v>109</v>
      </c>
      <c r="K175" t="str">
        <f t="shared" si="4"/>
        <v/>
      </c>
      <c r="M175" s="3"/>
      <c r="N175" s="3"/>
      <c r="O175" s="3"/>
      <c r="P175" s="3"/>
      <c r="Q175" s="3"/>
    </row>
    <row r="176" spans="1:17" x14ac:dyDescent="0.3">
      <c r="A176" t="s">
        <v>512</v>
      </c>
      <c r="B176" t="s">
        <v>205</v>
      </c>
      <c r="C176" s="6" t="s">
        <v>513</v>
      </c>
      <c r="D176" s="6"/>
      <c r="E176" s="6"/>
      <c r="F176" s="6" t="s">
        <v>514</v>
      </c>
      <c r="G176" s="6"/>
      <c r="I176" s="5" t="str">
        <f t="shared" si="5"/>
        <v>D4</v>
      </c>
      <c r="J176" t="s">
        <v>112</v>
      </c>
      <c r="K176" t="str">
        <f t="shared" si="4"/>
        <v/>
      </c>
      <c r="M176" s="6"/>
      <c r="N176" s="6"/>
      <c r="O176" s="6"/>
      <c r="P176" s="6"/>
      <c r="Q176" s="6"/>
    </row>
    <row r="177" spans="1:17" x14ac:dyDescent="0.3">
      <c r="A177" t="s">
        <v>512</v>
      </c>
      <c r="B177" s="32" t="s">
        <v>205</v>
      </c>
      <c r="C177" s="30" t="s">
        <v>516</v>
      </c>
      <c r="D177" s="31" t="s">
        <v>517</v>
      </c>
      <c r="E177" s="33">
        <v>4</v>
      </c>
      <c r="F177" s="33" t="s">
        <v>518</v>
      </c>
      <c r="G177" s="35"/>
      <c r="I177" s="5" t="str">
        <f t="shared" si="5"/>
        <v>D4</v>
      </c>
      <c r="J177" t="s">
        <v>73</v>
      </c>
      <c r="K177" t="str">
        <f t="shared" si="4"/>
        <v>30GMD10AP010</v>
      </c>
      <c r="M177" s="30">
        <v>30</v>
      </c>
      <c r="N177" s="30" t="s">
        <v>515</v>
      </c>
      <c r="O177" s="31" t="s">
        <v>46</v>
      </c>
      <c r="P177" s="30" t="s">
        <v>399</v>
      </c>
      <c r="Q177" s="31" t="s">
        <v>82</v>
      </c>
    </row>
    <row r="178" spans="1:17" x14ac:dyDescent="0.3">
      <c r="A178" s="4" t="s">
        <v>519</v>
      </c>
      <c r="B178" s="4" t="s">
        <v>205</v>
      </c>
      <c r="C178" s="3" t="s">
        <v>520</v>
      </c>
      <c r="D178" s="3"/>
      <c r="E178" s="3"/>
      <c r="F178" s="3" t="s">
        <v>521</v>
      </c>
      <c r="G178" s="3"/>
      <c r="I178" s="5" t="str">
        <f t="shared" si="5"/>
        <v>D5</v>
      </c>
      <c r="J178" t="s">
        <v>105</v>
      </c>
      <c r="K178" t="str">
        <f t="shared" si="4"/>
        <v/>
      </c>
      <c r="M178" s="3"/>
      <c r="N178" s="3"/>
      <c r="O178" s="3"/>
      <c r="P178" s="3"/>
      <c r="Q178" s="3"/>
    </row>
    <row r="179" spans="1:17" x14ac:dyDescent="0.3">
      <c r="A179" t="s">
        <v>519</v>
      </c>
      <c r="B179" s="32" t="s">
        <v>205</v>
      </c>
      <c r="C179" s="30" t="s">
        <v>516</v>
      </c>
      <c r="D179" s="31" t="s">
        <v>517</v>
      </c>
      <c r="E179" s="33">
        <v>5</v>
      </c>
      <c r="F179" s="33" t="s">
        <v>522</v>
      </c>
      <c r="G179" s="35"/>
      <c r="I179" s="5" t="str">
        <f t="shared" si="5"/>
        <v>D5</v>
      </c>
      <c r="J179" t="s">
        <v>89</v>
      </c>
      <c r="K179" t="str">
        <f t="shared" si="4"/>
        <v>30GMD11AP010</v>
      </c>
      <c r="M179" s="30">
        <v>30</v>
      </c>
      <c r="N179" s="30" t="s">
        <v>515</v>
      </c>
      <c r="O179" s="31" t="s">
        <v>264</v>
      </c>
      <c r="P179" s="30" t="s">
        <v>399</v>
      </c>
      <c r="Q179" s="31" t="s">
        <v>82</v>
      </c>
    </row>
    <row r="180" spans="1:17" x14ac:dyDescent="0.3">
      <c r="A180" t="s">
        <v>523</v>
      </c>
      <c r="B180" t="s">
        <v>205</v>
      </c>
      <c r="C180" s="6" t="s">
        <v>524</v>
      </c>
      <c r="D180" s="6"/>
      <c r="E180" s="6"/>
      <c r="F180" s="6" t="s">
        <v>525</v>
      </c>
      <c r="G180" s="6"/>
      <c r="I180" s="5" t="str">
        <f t="shared" si="5"/>
        <v>G5</v>
      </c>
      <c r="J180" t="s">
        <v>62</v>
      </c>
      <c r="K180" t="str">
        <f t="shared" si="4"/>
        <v/>
      </c>
      <c r="M180" s="6"/>
      <c r="N180" s="6"/>
      <c r="O180" s="6"/>
      <c r="P180" s="6"/>
      <c r="Q180" s="6"/>
    </row>
    <row r="181" spans="1:17" x14ac:dyDescent="0.3">
      <c r="A181" t="s">
        <v>523</v>
      </c>
      <c r="B181" s="32" t="s">
        <v>205</v>
      </c>
      <c r="C181" s="30" t="s">
        <v>526</v>
      </c>
      <c r="D181" s="31" t="s">
        <v>517</v>
      </c>
      <c r="E181" s="35">
        <v>5</v>
      </c>
      <c r="F181" s="35" t="s">
        <v>527</v>
      </c>
      <c r="G181" s="35"/>
      <c r="I181" s="5" t="str">
        <f t="shared" si="5"/>
        <v>G5</v>
      </c>
      <c r="J181" t="s">
        <v>528</v>
      </c>
      <c r="K181" t="str">
        <f t="shared" si="4"/>
        <v>30GMD20AP010</v>
      </c>
      <c r="M181" s="30">
        <v>30</v>
      </c>
      <c r="N181" s="30" t="s">
        <v>515</v>
      </c>
      <c r="O181" s="31" t="s">
        <v>64</v>
      </c>
      <c r="P181" s="30" t="s">
        <v>399</v>
      </c>
      <c r="Q181" s="31" t="s">
        <v>82</v>
      </c>
    </row>
    <row r="182" spans="1:17" x14ac:dyDescent="0.3">
      <c r="A182" s="4" t="s">
        <v>529</v>
      </c>
      <c r="B182" s="4" t="s">
        <v>205</v>
      </c>
      <c r="C182" s="3" t="s">
        <v>530</v>
      </c>
      <c r="D182" s="3"/>
      <c r="E182" s="3"/>
      <c r="F182" s="3" t="s">
        <v>253</v>
      </c>
      <c r="G182" s="3"/>
      <c r="I182" s="5" t="str">
        <f t="shared" si="5"/>
        <v>G6</v>
      </c>
      <c r="J182" t="s">
        <v>531</v>
      </c>
      <c r="K182" t="str">
        <f t="shared" si="4"/>
        <v/>
      </c>
      <c r="M182" s="3"/>
      <c r="N182" s="3"/>
      <c r="O182" s="3"/>
      <c r="P182" s="3"/>
      <c r="Q182" s="3"/>
    </row>
    <row r="183" spans="1:17" x14ac:dyDescent="0.3">
      <c r="A183" t="s">
        <v>529</v>
      </c>
      <c r="B183" s="32" t="s">
        <v>205</v>
      </c>
      <c r="C183" s="30" t="s">
        <v>526</v>
      </c>
      <c r="D183" s="31" t="s">
        <v>517</v>
      </c>
      <c r="E183" s="35">
        <v>6</v>
      </c>
      <c r="F183" s="35" t="s">
        <v>256</v>
      </c>
      <c r="G183" s="35"/>
      <c r="I183" s="5" t="str">
        <f t="shared" si="5"/>
        <v>G6</v>
      </c>
      <c r="J183" t="s">
        <v>532</v>
      </c>
      <c r="K183" t="str">
        <f t="shared" si="4"/>
        <v>30GMD21AP010</v>
      </c>
      <c r="M183" s="30">
        <v>30</v>
      </c>
      <c r="N183" s="30" t="s">
        <v>515</v>
      </c>
      <c r="O183" s="31" t="s">
        <v>280</v>
      </c>
      <c r="P183" s="30" t="s">
        <v>399</v>
      </c>
      <c r="Q183" s="31" t="s">
        <v>82</v>
      </c>
    </row>
    <row r="184" spans="1:17" x14ac:dyDescent="0.3">
      <c r="A184" t="s">
        <v>533</v>
      </c>
      <c r="B184" t="s">
        <v>205</v>
      </c>
      <c r="C184" s="6" t="s">
        <v>534</v>
      </c>
      <c r="D184" s="6"/>
      <c r="E184" s="6"/>
      <c r="F184" s="6" t="s">
        <v>268</v>
      </c>
      <c r="G184" s="6"/>
      <c r="I184" s="5" t="str">
        <f t="shared" si="5"/>
        <v>E5</v>
      </c>
      <c r="J184" t="s">
        <v>102</v>
      </c>
      <c r="K184" t="str">
        <f t="shared" si="4"/>
        <v/>
      </c>
      <c r="M184" s="6"/>
      <c r="N184" s="6"/>
      <c r="O184" s="6"/>
      <c r="P184" s="6"/>
      <c r="Q184" s="6"/>
    </row>
    <row r="185" spans="1:17" x14ac:dyDescent="0.3">
      <c r="A185" t="s">
        <v>533</v>
      </c>
      <c r="B185" s="32" t="s">
        <v>205</v>
      </c>
      <c r="C185" s="30" t="s">
        <v>536</v>
      </c>
      <c r="D185" s="31" t="s">
        <v>517</v>
      </c>
      <c r="E185" s="33">
        <v>5</v>
      </c>
      <c r="F185" s="33" t="s">
        <v>266</v>
      </c>
      <c r="G185" s="35"/>
      <c r="I185" s="5" t="str">
        <f t="shared" si="5"/>
        <v>E5</v>
      </c>
      <c r="J185" t="s">
        <v>105</v>
      </c>
      <c r="K185" t="str">
        <f t="shared" si="4"/>
        <v>30GME10AP010</v>
      </c>
      <c r="M185" s="30">
        <v>30</v>
      </c>
      <c r="N185" s="30" t="s">
        <v>535</v>
      </c>
      <c r="O185" s="31" t="s">
        <v>46</v>
      </c>
      <c r="P185" s="30" t="s">
        <v>399</v>
      </c>
      <c r="Q185" s="31" t="s">
        <v>82</v>
      </c>
    </row>
    <row r="186" spans="1:17" x14ac:dyDescent="0.3">
      <c r="A186" s="4" t="s">
        <v>537</v>
      </c>
      <c r="B186" s="4" t="s">
        <v>205</v>
      </c>
      <c r="C186" s="3" t="s">
        <v>534</v>
      </c>
      <c r="D186" s="3"/>
      <c r="E186" s="3"/>
      <c r="F186" s="3" t="s">
        <v>284</v>
      </c>
      <c r="G186" s="3"/>
      <c r="I186" s="5" t="str">
        <f t="shared" si="5"/>
        <v>D6</v>
      </c>
      <c r="J186" t="s">
        <v>129</v>
      </c>
      <c r="K186" t="str">
        <f t="shared" si="4"/>
        <v/>
      </c>
      <c r="M186" s="3"/>
      <c r="N186" s="3"/>
      <c r="O186" s="3"/>
      <c r="P186" s="3"/>
      <c r="Q186" s="3"/>
    </row>
    <row r="187" spans="1:17" x14ac:dyDescent="0.3">
      <c r="A187" t="s">
        <v>537</v>
      </c>
      <c r="B187" s="32" t="s">
        <v>205</v>
      </c>
      <c r="C187" s="30" t="s">
        <v>536</v>
      </c>
      <c r="D187" s="31" t="s">
        <v>517</v>
      </c>
      <c r="E187" s="33">
        <v>6</v>
      </c>
      <c r="F187" s="33" t="s">
        <v>282</v>
      </c>
      <c r="G187" s="35"/>
      <c r="I187" s="5" t="str">
        <f t="shared" si="5"/>
        <v>D6</v>
      </c>
      <c r="J187" t="s">
        <v>102</v>
      </c>
      <c r="K187" t="str">
        <f t="shared" si="4"/>
        <v>30GME11AP010</v>
      </c>
      <c r="M187" s="30">
        <v>30</v>
      </c>
      <c r="N187" s="30" t="s">
        <v>535</v>
      </c>
      <c r="O187" s="31" t="s">
        <v>264</v>
      </c>
      <c r="P187" s="30" t="s">
        <v>399</v>
      </c>
      <c r="Q187" s="31" t="s">
        <v>82</v>
      </c>
    </row>
    <row r="188" spans="1:17" x14ac:dyDescent="0.3">
      <c r="A188" t="s">
        <v>538</v>
      </c>
      <c r="B188" s="19" t="s">
        <v>11</v>
      </c>
      <c r="C188" s="20" t="s">
        <v>541</v>
      </c>
      <c r="D188" s="21" t="s">
        <v>542</v>
      </c>
      <c r="E188" s="10">
        <v>17</v>
      </c>
      <c r="F188" s="10" t="s">
        <v>543</v>
      </c>
      <c r="G188" s="24"/>
      <c r="I188" s="5" t="str">
        <f t="shared" si="5"/>
        <v>E1</v>
      </c>
      <c r="J188" t="s">
        <v>544</v>
      </c>
      <c r="K188" t="str">
        <f t="shared" si="4"/>
        <v>30HAD50AA001</v>
      </c>
      <c r="M188" s="20">
        <v>30</v>
      </c>
      <c r="N188" s="20" t="s">
        <v>539</v>
      </c>
      <c r="O188" s="21" t="s">
        <v>415</v>
      </c>
      <c r="P188" s="21" t="s">
        <v>540</v>
      </c>
      <c r="Q188" s="21" t="s">
        <v>48</v>
      </c>
    </row>
    <row r="189" spans="1:17" x14ac:dyDescent="0.3">
      <c r="A189" t="s">
        <v>545</v>
      </c>
      <c r="B189" s="19" t="s">
        <v>11</v>
      </c>
      <c r="C189" s="20" t="s">
        <v>547</v>
      </c>
      <c r="D189" s="21" t="s">
        <v>542</v>
      </c>
      <c r="E189" s="10">
        <v>18</v>
      </c>
      <c r="F189" s="10" t="s">
        <v>548</v>
      </c>
      <c r="G189" s="24"/>
      <c r="I189" s="5" t="str">
        <f t="shared" si="5"/>
        <v>A1</v>
      </c>
      <c r="J189" t="s">
        <v>549</v>
      </c>
      <c r="K189" t="str">
        <f t="shared" si="4"/>
        <v>30HAD60AA002</v>
      </c>
      <c r="M189" s="20">
        <v>30</v>
      </c>
      <c r="N189" s="20" t="s">
        <v>539</v>
      </c>
      <c r="O189" s="21" t="s">
        <v>546</v>
      </c>
      <c r="P189" s="21" t="s">
        <v>540</v>
      </c>
      <c r="Q189" s="21" t="s">
        <v>233</v>
      </c>
    </row>
    <row r="190" spans="1:17" x14ac:dyDescent="0.3">
      <c r="A190" t="s">
        <v>550</v>
      </c>
      <c r="B190" t="s">
        <v>11</v>
      </c>
      <c r="C190" s="6" t="s">
        <v>551</v>
      </c>
      <c r="D190" s="6"/>
      <c r="E190" s="6"/>
      <c r="F190" s="6" t="s">
        <v>552</v>
      </c>
      <c r="G190" s="6"/>
      <c r="I190" s="5" t="str">
        <f t="shared" si="5"/>
        <v>A1</v>
      </c>
      <c r="J190" t="s">
        <v>553</v>
      </c>
      <c r="K190" t="str">
        <f t="shared" si="4"/>
        <v/>
      </c>
      <c r="M190" s="6"/>
      <c r="N190" s="6"/>
      <c r="O190" s="6"/>
      <c r="P190" s="6"/>
      <c r="Q190" s="6"/>
    </row>
    <row r="191" spans="1:17" x14ac:dyDescent="0.3">
      <c r="A191" t="s">
        <v>554</v>
      </c>
      <c r="B191" s="19" t="s">
        <v>11</v>
      </c>
      <c r="C191" s="20" t="s">
        <v>556</v>
      </c>
      <c r="D191" s="21" t="s">
        <v>557</v>
      </c>
      <c r="E191" s="23"/>
      <c r="F191" s="49"/>
      <c r="G191" s="24"/>
      <c r="I191" s="5" t="str">
        <f t="shared" si="5"/>
        <v/>
      </c>
      <c r="J191" t="s">
        <v>89</v>
      </c>
      <c r="K191" t="str">
        <f t="shared" si="4"/>
        <v>30HCB10AT001</v>
      </c>
      <c r="M191" s="20">
        <v>30</v>
      </c>
      <c r="N191" s="20" t="s">
        <v>555</v>
      </c>
      <c r="O191" s="21" t="s">
        <v>46</v>
      </c>
      <c r="P191" s="20" t="s">
        <v>436</v>
      </c>
      <c r="Q191" s="21" t="s">
        <v>48</v>
      </c>
    </row>
    <row r="192" spans="1:17" x14ac:dyDescent="0.3">
      <c r="A192" t="s">
        <v>558</v>
      </c>
      <c r="B192" s="19" t="s">
        <v>11</v>
      </c>
      <c r="C192" s="20" t="s">
        <v>559</v>
      </c>
      <c r="D192" s="21" t="s">
        <v>557</v>
      </c>
      <c r="E192" s="23"/>
      <c r="F192" s="49"/>
      <c r="G192" s="24"/>
      <c r="I192" s="5" t="str">
        <f t="shared" si="5"/>
        <v/>
      </c>
      <c r="J192" t="s">
        <v>89</v>
      </c>
      <c r="K192" t="str">
        <f t="shared" si="4"/>
        <v>30HCB10AT002</v>
      </c>
      <c r="M192" s="20">
        <v>30</v>
      </c>
      <c r="N192" s="20" t="s">
        <v>555</v>
      </c>
      <c r="O192" s="21" t="s">
        <v>46</v>
      </c>
      <c r="P192" s="20" t="s">
        <v>436</v>
      </c>
      <c r="Q192" s="21" t="s">
        <v>233</v>
      </c>
    </row>
    <row r="193" spans="1:17" x14ac:dyDescent="0.3">
      <c r="A193" t="s">
        <v>560</v>
      </c>
      <c r="B193" s="19" t="s">
        <v>11</v>
      </c>
      <c r="C193" s="20" t="s">
        <v>561</v>
      </c>
      <c r="D193" s="21" t="s">
        <v>557</v>
      </c>
      <c r="E193" s="23"/>
      <c r="F193" s="49"/>
      <c r="G193" s="24"/>
      <c r="I193" s="5" t="str">
        <f t="shared" si="5"/>
        <v/>
      </c>
      <c r="J193" t="s">
        <v>138</v>
      </c>
      <c r="K193" t="str">
        <f t="shared" si="4"/>
        <v>30HCB10AT003</v>
      </c>
      <c r="M193" s="20">
        <v>30</v>
      </c>
      <c r="N193" s="20" t="s">
        <v>555</v>
      </c>
      <c r="O193" s="21" t="s">
        <v>46</v>
      </c>
      <c r="P193" s="20" t="s">
        <v>436</v>
      </c>
      <c r="Q193" s="21" t="s">
        <v>317</v>
      </c>
    </row>
    <row r="194" spans="1:17" x14ac:dyDescent="0.3">
      <c r="A194" t="s">
        <v>562</v>
      </c>
      <c r="B194" s="19" t="s">
        <v>11</v>
      </c>
      <c r="C194" s="20" t="s">
        <v>563</v>
      </c>
      <c r="D194" s="21" t="s">
        <v>557</v>
      </c>
      <c r="E194" s="23"/>
      <c r="F194" s="49"/>
      <c r="G194" s="24"/>
      <c r="I194" s="5" t="str">
        <f t="shared" si="5"/>
        <v/>
      </c>
      <c r="J194" t="s">
        <v>89</v>
      </c>
      <c r="K194" t="str">
        <f t="shared" ref="K194:K257" si="6">M194 &amp; N194 &amp; O194 &amp; P194 &amp; Q194</f>
        <v>30HCB10AT004</v>
      </c>
      <c r="M194" s="20">
        <v>30</v>
      </c>
      <c r="N194" s="20" t="s">
        <v>555</v>
      </c>
      <c r="O194" s="21" t="s">
        <v>46</v>
      </c>
      <c r="P194" s="20" t="s">
        <v>436</v>
      </c>
      <c r="Q194" s="21" t="s">
        <v>242</v>
      </c>
    </row>
    <row r="195" spans="1:17" x14ac:dyDescent="0.3">
      <c r="A195" t="s">
        <v>564</v>
      </c>
      <c r="B195" s="19" t="s">
        <v>11</v>
      </c>
      <c r="C195" s="20" t="s">
        <v>565</v>
      </c>
      <c r="D195" s="21" t="s">
        <v>557</v>
      </c>
      <c r="E195" s="23"/>
      <c r="F195" s="49"/>
      <c r="G195" s="24"/>
      <c r="I195" s="5" t="str">
        <f t="shared" si="5"/>
        <v/>
      </c>
      <c r="J195" t="s">
        <v>566</v>
      </c>
      <c r="K195" t="str">
        <f t="shared" si="6"/>
        <v>30HCB10AT005</v>
      </c>
      <c r="M195" s="20">
        <v>30</v>
      </c>
      <c r="N195" s="20" t="s">
        <v>555</v>
      </c>
      <c r="O195" s="21" t="s">
        <v>46</v>
      </c>
      <c r="P195" s="20" t="s">
        <v>436</v>
      </c>
      <c r="Q195" s="21" t="s">
        <v>248</v>
      </c>
    </row>
    <row r="196" spans="1:17" x14ac:dyDescent="0.3">
      <c r="A196" t="s">
        <v>567</v>
      </c>
      <c r="B196" s="19" t="s">
        <v>11</v>
      </c>
      <c r="C196" s="20" t="s">
        <v>568</v>
      </c>
      <c r="D196" s="21" t="s">
        <v>557</v>
      </c>
      <c r="E196" s="23"/>
      <c r="F196" s="49"/>
      <c r="G196" s="24"/>
      <c r="I196" s="5" t="str">
        <f t="shared" si="5"/>
        <v/>
      </c>
      <c r="J196" t="s">
        <v>569</v>
      </c>
      <c r="K196" t="str">
        <f t="shared" si="6"/>
        <v>30HCB10AT006</v>
      </c>
      <c r="M196" s="20">
        <v>30</v>
      </c>
      <c r="N196" s="20" t="s">
        <v>555</v>
      </c>
      <c r="O196" s="21" t="s">
        <v>46</v>
      </c>
      <c r="P196" s="20" t="s">
        <v>436</v>
      </c>
      <c r="Q196" s="21" t="s">
        <v>254</v>
      </c>
    </row>
    <row r="197" spans="1:17" x14ac:dyDescent="0.3">
      <c r="A197" t="s">
        <v>570</v>
      </c>
      <c r="B197" s="19" t="s">
        <v>11</v>
      </c>
      <c r="C197" s="20" t="s">
        <v>572</v>
      </c>
      <c r="D197" s="21" t="s">
        <v>557</v>
      </c>
      <c r="E197" s="23"/>
      <c r="F197" s="49"/>
      <c r="G197" s="24"/>
      <c r="I197" s="5" t="str">
        <f t="shared" si="5"/>
        <v/>
      </c>
      <c r="J197" t="s">
        <v>573</v>
      </c>
      <c r="K197" t="str">
        <f t="shared" si="6"/>
        <v>30HCB10AT007</v>
      </c>
      <c r="M197" s="20">
        <v>30</v>
      </c>
      <c r="N197" s="20" t="s">
        <v>555</v>
      </c>
      <c r="O197" s="21" t="s">
        <v>46</v>
      </c>
      <c r="P197" s="20" t="s">
        <v>436</v>
      </c>
      <c r="Q197" s="21" t="s">
        <v>571</v>
      </c>
    </row>
    <row r="198" spans="1:17" x14ac:dyDescent="0.3">
      <c r="A198" t="s">
        <v>574</v>
      </c>
      <c r="B198" s="19" t="s">
        <v>11</v>
      </c>
      <c r="C198" s="20" t="s">
        <v>576</v>
      </c>
      <c r="D198" s="21" t="s">
        <v>557</v>
      </c>
      <c r="E198" s="23"/>
      <c r="F198" s="49"/>
      <c r="G198" s="24"/>
      <c r="I198" s="5" t="str">
        <f t="shared" ref="I198:I261" si="7">RIGHT(F198,1) &amp; LEFT(F198,1)</f>
        <v/>
      </c>
      <c r="J198" t="s">
        <v>577</v>
      </c>
      <c r="K198" t="str">
        <f t="shared" si="6"/>
        <v>30HCB10AT008</v>
      </c>
      <c r="M198" s="20">
        <v>30</v>
      </c>
      <c r="N198" s="20" t="s">
        <v>555</v>
      </c>
      <c r="O198" s="21" t="s">
        <v>46</v>
      </c>
      <c r="P198" s="20" t="s">
        <v>436</v>
      </c>
      <c r="Q198" s="21" t="s">
        <v>575</v>
      </c>
    </row>
    <row r="199" spans="1:17" x14ac:dyDescent="0.3">
      <c r="A199" t="s">
        <v>578</v>
      </c>
      <c r="B199" s="19" t="s">
        <v>11</v>
      </c>
      <c r="C199" s="20" t="s">
        <v>580</v>
      </c>
      <c r="D199" s="21" t="s">
        <v>557</v>
      </c>
      <c r="E199" s="23"/>
      <c r="F199" s="49"/>
      <c r="G199" s="24"/>
      <c r="I199" s="5" t="str">
        <f t="shared" si="7"/>
        <v/>
      </c>
      <c r="J199" t="s">
        <v>581</v>
      </c>
      <c r="K199" t="str">
        <f t="shared" si="6"/>
        <v>30HCB10AT009</v>
      </c>
      <c r="M199" s="20">
        <v>30</v>
      </c>
      <c r="N199" s="20" t="s">
        <v>555</v>
      </c>
      <c r="O199" s="21" t="s">
        <v>46</v>
      </c>
      <c r="P199" s="20" t="s">
        <v>436</v>
      </c>
      <c r="Q199" s="21" t="s">
        <v>579</v>
      </c>
    </row>
    <row r="200" spans="1:17" x14ac:dyDescent="0.3">
      <c r="A200" t="s">
        <v>582</v>
      </c>
      <c r="B200" s="19" t="s">
        <v>11</v>
      </c>
      <c r="C200" s="20" t="s">
        <v>583</v>
      </c>
      <c r="D200" s="21" t="s">
        <v>557</v>
      </c>
      <c r="E200" s="23"/>
      <c r="F200" s="49"/>
      <c r="G200" s="24"/>
      <c r="I200" s="5" t="str">
        <f t="shared" si="7"/>
        <v/>
      </c>
      <c r="J200" t="s">
        <v>584</v>
      </c>
      <c r="K200" t="str">
        <f t="shared" si="6"/>
        <v>30HCB10AT010</v>
      </c>
      <c r="M200" s="20">
        <v>30</v>
      </c>
      <c r="N200" s="20" t="s">
        <v>555</v>
      </c>
      <c r="O200" s="21" t="s">
        <v>46</v>
      </c>
      <c r="P200" s="20" t="s">
        <v>436</v>
      </c>
      <c r="Q200" s="21" t="s">
        <v>82</v>
      </c>
    </row>
    <row r="201" spans="1:17" x14ac:dyDescent="0.3">
      <c r="A201" t="s">
        <v>585</v>
      </c>
      <c r="B201" s="19" t="s">
        <v>11</v>
      </c>
      <c r="C201" s="20" t="s">
        <v>586</v>
      </c>
      <c r="D201" s="21" t="s">
        <v>557</v>
      </c>
      <c r="E201" s="23"/>
      <c r="F201" s="49"/>
      <c r="G201" s="24"/>
      <c r="I201" s="5" t="str">
        <f t="shared" si="7"/>
        <v/>
      </c>
      <c r="J201" t="s">
        <v>587</v>
      </c>
      <c r="K201" t="str">
        <f t="shared" si="6"/>
        <v>30HCB10AT011</v>
      </c>
      <c r="M201" s="20">
        <v>30</v>
      </c>
      <c r="N201" s="20" t="s">
        <v>555</v>
      </c>
      <c r="O201" s="21" t="s">
        <v>46</v>
      </c>
      <c r="P201" s="20" t="s">
        <v>436</v>
      </c>
      <c r="Q201" s="21" t="s">
        <v>214</v>
      </c>
    </row>
    <row r="202" spans="1:17" x14ac:dyDescent="0.3">
      <c r="A202" t="s">
        <v>588</v>
      </c>
      <c r="B202" s="19" t="s">
        <v>11</v>
      </c>
      <c r="C202" s="20" t="s">
        <v>589</v>
      </c>
      <c r="D202" s="21" t="s">
        <v>557</v>
      </c>
      <c r="E202" s="23"/>
      <c r="F202" s="49"/>
      <c r="G202" s="24"/>
      <c r="I202" s="5" t="str">
        <f t="shared" si="7"/>
        <v/>
      </c>
      <c r="J202" t="s">
        <v>78</v>
      </c>
      <c r="K202" t="str">
        <f t="shared" si="6"/>
        <v>30HCB10AT012</v>
      </c>
      <c r="M202" s="20">
        <v>30</v>
      </c>
      <c r="N202" s="20" t="s">
        <v>555</v>
      </c>
      <c r="O202" s="21" t="s">
        <v>46</v>
      </c>
      <c r="P202" s="20" t="s">
        <v>436</v>
      </c>
      <c r="Q202" s="21" t="s">
        <v>219</v>
      </c>
    </row>
    <row r="203" spans="1:17" x14ac:dyDescent="0.3">
      <c r="A203" t="s">
        <v>590</v>
      </c>
      <c r="B203" s="19" t="s">
        <v>11</v>
      </c>
      <c r="C203" s="20" t="s">
        <v>591</v>
      </c>
      <c r="D203" s="21" t="s">
        <v>557</v>
      </c>
      <c r="E203" s="23"/>
      <c r="F203" s="49"/>
      <c r="G203" s="24"/>
      <c r="I203" s="5" t="str">
        <f t="shared" si="7"/>
        <v/>
      </c>
      <c r="J203" t="s">
        <v>592</v>
      </c>
      <c r="K203" t="str">
        <f t="shared" si="6"/>
        <v>30HCB10AT013</v>
      </c>
      <c r="M203" s="20">
        <v>30</v>
      </c>
      <c r="N203" s="20" t="s">
        <v>555</v>
      </c>
      <c r="O203" s="21" t="s">
        <v>46</v>
      </c>
      <c r="P203" s="20" t="s">
        <v>436</v>
      </c>
      <c r="Q203" s="21" t="s">
        <v>501</v>
      </c>
    </row>
    <row r="204" spans="1:17" x14ac:dyDescent="0.3">
      <c r="A204" t="s">
        <v>593</v>
      </c>
      <c r="B204" s="19" t="s">
        <v>11</v>
      </c>
      <c r="C204" s="20" t="s">
        <v>595</v>
      </c>
      <c r="D204" s="21" t="s">
        <v>557</v>
      </c>
      <c r="E204" s="23"/>
      <c r="F204" s="49"/>
      <c r="G204" s="24"/>
      <c r="I204" s="5" t="str">
        <f t="shared" si="7"/>
        <v/>
      </c>
      <c r="J204" t="s">
        <v>123</v>
      </c>
      <c r="K204" t="str">
        <f t="shared" si="6"/>
        <v>30HCB10AT014</v>
      </c>
      <c r="M204" s="20">
        <v>30</v>
      </c>
      <c r="N204" s="20" t="s">
        <v>555</v>
      </c>
      <c r="O204" s="21" t="s">
        <v>46</v>
      </c>
      <c r="P204" s="20" t="s">
        <v>436</v>
      </c>
      <c r="Q204" s="21" t="s">
        <v>594</v>
      </c>
    </row>
    <row r="205" spans="1:17" x14ac:dyDescent="0.3">
      <c r="A205" t="s">
        <v>596</v>
      </c>
      <c r="B205" s="19" t="s">
        <v>11</v>
      </c>
      <c r="C205" s="20" t="s">
        <v>598</v>
      </c>
      <c r="D205" s="21" t="s">
        <v>557</v>
      </c>
      <c r="E205" s="23"/>
      <c r="F205" s="49"/>
      <c r="G205" s="24"/>
      <c r="I205" s="5" t="str">
        <f t="shared" si="7"/>
        <v/>
      </c>
      <c r="J205" t="s">
        <v>599</v>
      </c>
      <c r="K205" t="str">
        <f t="shared" si="6"/>
        <v>30HCB10AT015</v>
      </c>
      <c r="M205" s="20">
        <v>30</v>
      </c>
      <c r="N205" s="20" t="s">
        <v>555</v>
      </c>
      <c r="O205" s="21" t="s">
        <v>46</v>
      </c>
      <c r="P205" s="20" t="s">
        <v>436</v>
      </c>
      <c r="Q205" s="21" t="s">
        <v>597</v>
      </c>
    </row>
    <row r="206" spans="1:17" x14ac:dyDescent="0.3">
      <c r="A206" t="s">
        <v>600</v>
      </c>
      <c r="B206" s="19" t="s">
        <v>11</v>
      </c>
      <c r="C206" s="20" t="s">
        <v>602</v>
      </c>
      <c r="D206" s="21" t="s">
        <v>557</v>
      </c>
      <c r="E206" s="23"/>
      <c r="F206" s="49"/>
      <c r="G206" s="24"/>
      <c r="I206" s="5" t="str">
        <f t="shared" si="7"/>
        <v/>
      </c>
      <c r="J206" t="s">
        <v>603</v>
      </c>
      <c r="K206" t="str">
        <f t="shared" si="6"/>
        <v>30HCB10AT016</v>
      </c>
      <c r="M206" s="20">
        <v>30</v>
      </c>
      <c r="N206" s="20" t="s">
        <v>555</v>
      </c>
      <c r="O206" s="21" t="s">
        <v>46</v>
      </c>
      <c r="P206" s="20" t="s">
        <v>436</v>
      </c>
      <c r="Q206" s="21" t="s">
        <v>601</v>
      </c>
    </row>
    <row r="207" spans="1:17" x14ac:dyDescent="0.3">
      <c r="A207" t="s">
        <v>604</v>
      </c>
      <c r="B207" s="19" t="s">
        <v>11</v>
      </c>
      <c r="C207" s="20" t="s">
        <v>606</v>
      </c>
      <c r="D207" s="21" t="s">
        <v>557</v>
      </c>
      <c r="E207" s="23"/>
      <c r="F207" s="49"/>
      <c r="G207" s="24"/>
      <c r="I207" s="5" t="str">
        <f t="shared" si="7"/>
        <v/>
      </c>
      <c r="J207" t="s">
        <v>70</v>
      </c>
      <c r="K207" t="str">
        <f t="shared" si="6"/>
        <v>30HCB10AT017</v>
      </c>
      <c r="M207" s="20">
        <v>30</v>
      </c>
      <c r="N207" s="20" t="s">
        <v>555</v>
      </c>
      <c r="O207" s="21" t="s">
        <v>46</v>
      </c>
      <c r="P207" s="20" t="s">
        <v>436</v>
      </c>
      <c r="Q207" s="21" t="s">
        <v>605</v>
      </c>
    </row>
    <row r="208" spans="1:17" x14ac:dyDescent="0.3">
      <c r="A208" t="s">
        <v>607</v>
      </c>
      <c r="B208" s="19" t="s">
        <v>11</v>
      </c>
      <c r="C208" s="20" t="s">
        <v>609</v>
      </c>
      <c r="D208" s="21" t="s">
        <v>557</v>
      </c>
      <c r="E208" s="23"/>
      <c r="F208" s="49"/>
      <c r="G208" s="24"/>
      <c r="I208" s="5" t="str">
        <f t="shared" si="7"/>
        <v/>
      </c>
      <c r="J208" t="s">
        <v>73</v>
      </c>
      <c r="K208" t="str">
        <f t="shared" si="6"/>
        <v>30HCB10AT018</v>
      </c>
      <c r="M208" s="20">
        <v>30</v>
      </c>
      <c r="N208" s="20" t="s">
        <v>555</v>
      </c>
      <c r="O208" s="21" t="s">
        <v>46</v>
      </c>
      <c r="P208" s="20" t="s">
        <v>436</v>
      </c>
      <c r="Q208" s="21" t="s">
        <v>608</v>
      </c>
    </row>
    <row r="209" spans="1:17" x14ac:dyDescent="0.3">
      <c r="A209" t="s">
        <v>610</v>
      </c>
      <c r="B209" s="19" t="s">
        <v>11</v>
      </c>
      <c r="C209" s="20" t="s">
        <v>612</v>
      </c>
      <c r="D209" s="21" t="s">
        <v>557</v>
      </c>
      <c r="E209" s="23"/>
      <c r="F209" s="49"/>
      <c r="G209" s="24"/>
      <c r="I209" s="5" t="str">
        <f t="shared" si="7"/>
        <v/>
      </c>
      <c r="J209" t="s">
        <v>116</v>
      </c>
      <c r="K209" t="str">
        <f t="shared" si="6"/>
        <v>30HCB10AT019</v>
      </c>
      <c r="M209" s="20">
        <v>30</v>
      </c>
      <c r="N209" s="20" t="s">
        <v>555</v>
      </c>
      <c r="O209" s="21" t="s">
        <v>46</v>
      </c>
      <c r="P209" s="20" t="s">
        <v>436</v>
      </c>
      <c r="Q209" s="21" t="s">
        <v>611</v>
      </c>
    </row>
    <row r="210" spans="1:17" x14ac:dyDescent="0.3">
      <c r="A210" t="s">
        <v>613</v>
      </c>
      <c r="B210" s="19" t="s">
        <v>11</v>
      </c>
      <c r="C210" s="20" t="s">
        <v>614</v>
      </c>
      <c r="D210" s="21" t="s">
        <v>557</v>
      </c>
      <c r="E210" s="23"/>
      <c r="F210" s="49"/>
      <c r="G210" s="24"/>
      <c r="I210" s="5" t="str">
        <f t="shared" si="7"/>
        <v/>
      </c>
      <c r="J210" t="s">
        <v>53</v>
      </c>
      <c r="K210" t="str">
        <f t="shared" si="6"/>
        <v>30HCB10AT020</v>
      </c>
      <c r="M210" s="20">
        <v>30</v>
      </c>
      <c r="N210" s="20" t="s">
        <v>555</v>
      </c>
      <c r="O210" s="21" t="s">
        <v>46</v>
      </c>
      <c r="P210" s="20" t="s">
        <v>436</v>
      </c>
      <c r="Q210" s="21" t="s">
        <v>86</v>
      </c>
    </row>
    <row r="211" spans="1:17" x14ac:dyDescent="0.3">
      <c r="A211" t="s">
        <v>615</v>
      </c>
      <c r="B211" s="19" t="s">
        <v>11</v>
      </c>
      <c r="C211" s="20" t="s">
        <v>617</v>
      </c>
      <c r="D211" s="21" t="s">
        <v>557</v>
      </c>
      <c r="E211" s="23"/>
      <c r="F211" s="49"/>
      <c r="G211" s="24"/>
      <c r="I211" s="5" t="str">
        <f t="shared" si="7"/>
        <v/>
      </c>
      <c r="J211" t="s">
        <v>112</v>
      </c>
      <c r="K211" t="str">
        <f t="shared" si="6"/>
        <v>30HCB10AT021</v>
      </c>
      <c r="M211" s="20">
        <v>30</v>
      </c>
      <c r="N211" s="20" t="s">
        <v>555</v>
      </c>
      <c r="O211" s="21" t="s">
        <v>46</v>
      </c>
      <c r="P211" s="20" t="s">
        <v>436</v>
      </c>
      <c r="Q211" s="21" t="s">
        <v>616</v>
      </c>
    </row>
    <row r="212" spans="1:17" x14ac:dyDescent="0.3">
      <c r="A212" t="s">
        <v>618</v>
      </c>
      <c r="B212" s="19" t="s">
        <v>11</v>
      </c>
      <c r="C212" s="20" t="s">
        <v>620</v>
      </c>
      <c r="D212" s="21" t="s">
        <v>557</v>
      </c>
      <c r="E212" s="23"/>
      <c r="F212" s="49"/>
      <c r="G212" s="24"/>
      <c r="I212" s="5" t="str">
        <f t="shared" si="7"/>
        <v/>
      </c>
      <c r="J212" t="s">
        <v>93</v>
      </c>
      <c r="K212" t="str">
        <f t="shared" si="6"/>
        <v>30HCB10AT022</v>
      </c>
      <c r="M212" s="20">
        <v>30</v>
      </c>
      <c r="N212" s="20" t="s">
        <v>555</v>
      </c>
      <c r="O212" s="21" t="s">
        <v>46</v>
      </c>
      <c r="P212" s="20" t="s">
        <v>436</v>
      </c>
      <c r="Q212" s="21" t="s">
        <v>619</v>
      </c>
    </row>
    <row r="213" spans="1:17" x14ac:dyDescent="0.3">
      <c r="A213" t="s">
        <v>621</v>
      </c>
      <c r="B213" s="19" t="s">
        <v>11</v>
      </c>
      <c r="C213" s="20" t="s">
        <v>623</v>
      </c>
      <c r="D213" s="21" t="s">
        <v>557</v>
      </c>
      <c r="E213" s="23"/>
      <c r="F213" s="49"/>
      <c r="G213" s="24"/>
      <c r="I213" s="5" t="str">
        <f t="shared" si="7"/>
        <v/>
      </c>
      <c r="J213" t="s">
        <v>624</v>
      </c>
      <c r="K213" t="str">
        <f t="shared" si="6"/>
        <v>30HCB10AT023</v>
      </c>
      <c r="M213" s="20">
        <v>30</v>
      </c>
      <c r="N213" s="20" t="s">
        <v>555</v>
      </c>
      <c r="O213" s="21" t="s">
        <v>46</v>
      </c>
      <c r="P213" s="20" t="s">
        <v>436</v>
      </c>
      <c r="Q213" s="21" t="s">
        <v>622</v>
      </c>
    </row>
    <row r="214" spans="1:17" x14ac:dyDescent="0.3">
      <c r="A214" t="s">
        <v>625</v>
      </c>
      <c r="B214" s="19" t="s">
        <v>11</v>
      </c>
      <c r="C214" s="20" t="s">
        <v>627</v>
      </c>
      <c r="D214" s="21" t="s">
        <v>557</v>
      </c>
      <c r="E214" s="23"/>
      <c r="F214" s="49"/>
      <c r="G214" s="24"/>
      <c r="I214" s="5" t="str">
        <f t="shared" si="7"/>
        <v/>
      </c>
      <c r="J214" t="s">
        <v>528</v>
      </c>
      <c r="K214" t="str">
        <f t="shared" si="6"/>
        <v>30HCB10AT024</v>
      </c>
      <c r="M214" s="20">
        <v>30</v>
      </c>
      <c r="N214" s="20" t="s">
        <v>555</v>
      </c>
      <c r="O214" s="21" t="s">
        <v>46</v>
      </c>
      <c r="P214" s="20" t="s">
        <v>436</v>
      </c>
      <c r="Q214" s="21" t="s">
        <v>626</v>
      </c>
    </row>
    <row r="215" spans="1:17" x14ac:dyDescent="0.3">
      <c r="A215" t="s">
        <v>628</v>
      </c>
      <c r="B215" s="19" t="s">
        <v>11</v>
      </c>
      <c r="C215" s="20" t="s">
        <v>630</v>
      </c>
      <c r="D215" s="21" t="s">
        <v>557</v>
      </c>
      <c r="E215" s="23"/>
      <c r="F215" s="49"/>
      <c r="G215" s="24"/>
      <c r="I215" s="5" t="str">
        <f t="shared" si="7"/>
        <v/>
      </c>
      <c r="J215" t="s">
        <v>93</v>
      </c>
      <c r="K215" t="str">
        <f t="shared" si="6"/>
        <v>30HCB10AT025</v>
      </c>
      <c r="M215" s="20">
        <v>30</v>
      </c>
      <c r="N215" s="20" t="s">
        <v>555</v>
      </c>
      <c r="O215" s="21" t="s">
        <v>46</v>
      </c>
      <c r="P215" s="20" t="s">
        <v>436</v>
      </c>
      <c r="Q215" s="21" t="s">
        <v>629</v>
      </c>
    </row>
    <row r="216" spans="1:17" x14ac:dyDescent="0.3">
      <c r="A216" t="s">
        <v>631</v>
      </c>
      <c r="B216" s="19" t="s">
        <v>11</v>
      </c>
      <c r="C216" s="20" t="s">
        <v>632</v>
      </c>
      <c r="D216" s="21" t="s">
        <v>557</v>
      </c>
      <c r="E216" s="10">
        <v>14</v>
      </c>
      <c r="F216" s="10" t="s">
        <v>633</v>
      </c>
      <c r="G216" s="24"/>
      <c r="I216" s="5" t="str">
        <f t="shared" si="7"/>
        <v>A1</v>
      </c>
      <c r="J216" t="s">
        <v>587</v>
      </c>
      <c r="K216" t="str">
        <f t="shared" si="6"/>
        <v>30HCB10GH001</v>
      </c>
      <c r="M216" s="20">
        <v>30</v>
      </c>
      <c r="N216" s="20" t="s">
        <v>555</v>
      </c>
      <c r="O216" s="21" t="s">
        <v>46</v>
      </c>
      <c r="P216" s="21" t="s">
        <v>190</v>
      </c>
      <c r="Q216" s="21" t="s">
        <v>48</v>
      </c>
    </row>
    <row r="217" spans="1:17" x14ac:dyDescent="0.3">
      <c r="A217" s="50" t="s">
        <v>634</v>
      </c>
      <c r="B217" s="50" t="s">
        <v>11</v>
      </c>
      <c r="C217" s="51" t="s">
        <v>636</v>
      </c>
      <c r="D217" s="52" t="s">
        <v>557</v>
      </c>
      <c r="E217" s="53">
        <v>13</v>
      </c>
      <c r="F217" s="53" t="s">
        <v>637</v>
      </c>
      <c r="G217" s="53"/>
      <c r="I217" s="5" t="str">
        <f t="shared" si="7"/>
        <v>C1</v>
      </c>
      <c r="J217" t="s">
        <v>123</v>
      </c>
      <c r="K217" t="str">
        <f t="shared" si="6"/>
        <v>30HCB20AA404</v>
      </c>
      <c r="M217" s="51">
        <v>30</v>
      </c>
      <c r="N217" s="51" t="s">
        <v>555</v>
      </c>
      <c r="O217" s="52" t="s">
        <v>64</v>
      </c>
      <c r="P217" s="52" t="s">
        <v>540</v>
      </c>
      <c r="Q217" s="52" t="s">
        <v>635</v>
      </c>
    </row>
    <row r="218" spans="1:17" x14ac:dyDescent="0.3">
      <c r="A218" s="50" t="s">
        <v>634</v>
      </c>
      <c r="B218" s="50" t="s">
        <v>11</v>
      </c>
      <c r="C218" s="51" t="s">
        <v>638</v>
      </c>
      <c r="D218" s="51"/>
      <c r="E218" s="51"/>
      <c r="F218" s="51" t="s">
        <v>639</v>
      </c>
      <c r="G218" s="51"/>
      <c r="I218" s="5" t="str">
        <f t="shared" si="7"/>
        <v>C1</v>
      </c>
      <c r="J218" t="s">
        <v>640</v>
      </c>
      <c r="K218" t="str">
        <f t="shared" si="6"/>
        <v/>
      </c>
      <c r="M218" s="51"/>
      <c r="N218" s="51"/>
      <c r="O218" s="51"/>
      <c r="P218" s="51"/>
      <c r="Q218" s="51"/>
    </row>
    <row r="219" spans="1:17" x14ac:dyDescent="0.3">
      <c r="A219" s="4" t="s">
        <v>641</v>
      </c>
      <c r="B219" s="4" t="s">
        <v>11</v>
      </c>
      <c r="C219" s="3" t="s">
        <v>642</v>
      </c>
      <c r="D219" s="3"/>
      <c r="E219" s="3"/>
      <c r="F219" s="3" t="s">
        <v>643</v>
      </c>
      <c r="G219" s="3"/>
      <c r="I219" s="5" t="str">
        <f t="shared" si="7"/>
        <v>A1</v>
      </c>
      <c r="J219" t="s">
        <v>644</v>
      </c>
      <c r="K219" t="str">
        <f t="shared" si="6"/>
        <v/>
      </c>
      <c r="M219" s="3"/>
      <c r="N219" s="3"/>
      <c r="O219" s="3"/>
      <c r="P219" s="3"/>
      <c r="Q219" s="3"/>
    </row>
    <row r="220" spans="1:17" x14ac:dyDescent="0.3">
      <c r="A220" t="s">
        <v>645</v>
      </c>
      <c r="B220" s="19" t="s">
        <v>11</v>
      </c>
      <c r="C220" s="20" t="s">
        <v>647</v>
      </c>
      <c r="D220" s="21" t="s">
        <v>648</v>
      </c>
      <c r="E220" s="10">
        <v>17</v>
      </c>
      <c r="F220" s="10" t="s">
        <v>649</v>
      </c>
      <c r="G220" s="24"/>
      <c r="I220" s="5" t="str">
        <f t="shared" si="7"/>
        <v>C1</v>
      </c>
      <c r="J220" t="s">
        <v>362</v>
      </c>
      <c r="K220" t="str">
        <f t="shared" si="6"/>
        <v>30HDA10AF001</v>
      </c>
      <c r="M220" s="20">
        <v>30</v>
      </c>
      <c r="N220" s="20" t="s">
        <v>646</v>
      </c>
      <c r="O220" s="21" t="s">
        <v>46</v>
      </c>
      <c r="P220" s="20" t="s">
        <v>209</v>
      </c>
      <c r="Q220" s="21" t="s">
        <v>48</v>
      </c>
    </row>
    <row r="221" spans="1:17" x14ac:dyDescent="0.3">
      <c r="A221" t="s">
        <v>650</v>
      </c>
      <c r="B221" s="19" t="s">
        <v>11</v>
      </c>
      <c r="C221" s="20" t="s">
        <v>651</v>
      </c>
      <c r="D221" s="21" t="s">
        <v>648</v>
      </c>
      <c r="E221" s="10">
        <v>18</v>
      </c>
      <c r="F221" s="10" t="s">
        <v>652</v>
      </c>
      <c r="G221" s="24"/>
      <c r="I221" s="5" t="str">
        <f t="shared" si="7"/>
        <v>C1</v>
      </c>
      <c r="J221" t="s">
        <v>544</v>
      </c>
      <c r="K221" t="str">
        <f t="shared" si="6"/>
        <v>30HDA10AF002</v>
      </c>
      <c r="M221" s="20">
        <v>30</v>
      </c>
      <c r="N221" s="20" t="s">
        <v>646</v>
      </c>
      <c r="O221" s="21" t="s">
        <v>46</v>
      </c>
      <c r="P221" s="20" t="s">
        <v>209</v>
      </c>
      <c r="Q221" s="21" t="s">
        <v>233</v>
      </c>
    </row>
    <row r="222" spans="1:17" x14ac:dyDescent="0.3">
      <c r="A222" t="s">
        <v>653</v>
      </c>
      <c r="B222" s="19" t="s">
        <v>11</v>
      </c>
      <c r="C222" s="20" t="s">
        <v>654</v>
      </c>
      <c r="D222" s="21" t="s">
        <v>648</v>
      </c>
      <c r="E222" s="10">
        <v>18</v>
      </c>
      <c r="F222" s="10" t="s">
        <v>655</v>
      </c>
      <c r="G222" s="24"/>
      <c r="I222" s="5" t="str">
        <f t="shared" si="7"/>
        <v>H1</v>
      </c>
      <c r="J222" t="s">
        <v>112</v>
      </c>
      <c r="K222" t="str">
        <f t="shared" si="6"/>
        <v>30HDA10AF003</v>
      </c>
      <c r="M222" s="20">
        <v>30</v>
      </c>
      <c r="N222" s="20" t="s">
        <v>646</v>
      </c>
      <c r="O222" s="21" t="s">
        <v>46</v>
      </c>
      <c r="P222" s="20" t="s">
        <v>209</v>
      </c>
      <c r="Q222" s="21" t="s">
        <v>317</v>
      </c>
    </row>
    <row r="223" spans="1:17" x14ac:dyDescent="0.3">
      <c r="A223" s="54" t="s">
        <v>656</v>
      </c>
      <c r="B223" s="54" t="s">
        <v>11</v>
      </c>
      <c r="C223" s="55" t="s">
        <v>657</v>
      </c>
      <c r="D223" s="55"/>
      <c r="E223" s="55"/>
      <c r="F223" s="55" t="s">
        <v>658</v>
      </c>
      <c r="G223" s="55"/>
      <c r="I223" s="5" t="str">
        <f t="shared" si="7"/>
        <v>D1</v>
      </c>
      <c r="J223" t="s">
        <v>67</v>
      </c>
      <c r="K223" t="str">
        <f t="shared" si="6"/>
        <v/>
      </c>
      <c r="M223" s="55"/>
      <c r="N223" s="55"/>
      <c r="O223" s="55"/>
      <c r="P223" s="55"/>
      <c r="Q223" s="55"/>
    </row>
    <row r="224" spans="1:17" x14ac:dyDescent="0.3">
      <c r="A224" s="54" t="s">
        <v>656</v>
      </c>
      <c r="B224" s="54" t="s">
        <v>11</v>
      </c>
      <c r="C224" s="55" t="s">
        <v>659</v>
      </c>
      <c r="D224" s="56" t="s">
        <v>648</v>
      </c>
      <c r="E224" s="57">
        <v>7</v>
      </c>
      <c r="F224" s="57" t="s">
        <v>391</v>
      </c>
      <c r="G224" s="57"/>
      <c r="I224" s="5" t="str">
        <f t="shared" si="7"/>
        <v>C7</v>
      </c>
      <c r="J224" t="s">
        <v>76</v>
      </c>
      <c r="K224" t="str">
        <f t="shared" si="6"/>
        <v>30HDA10AF004</v>
      </c>
      <c r="M224" s="55">
        <v>30</v>
      </c>
      <c r="N224" s="55" t="s">
        <v>646</v>
      </c>
      <c r="O224" s="56" t="s">
        <v>46</v>
      </c>
      <c r="P224" s="55" t="s">
        <v>209</v>
      </c>
      <c r="Q224" s="56" t="s">
        <v>242</v>
      </c>
    </row>
    <row r="225" spans="1:17" x14ac:dyDescent="0.3">
      <c r="A225" t="s">
        <v>660</v>
      </c>
      <c r="B225" s="19" t="s">
        <v>11</v>
      </c>
      <c r="C225" s="20" t="s">
        <v>661</v>
      </c>
      <c r="D225" s="21" t="s">
        <v>648</v>
      </c>
      <c r="E225" s="10">
        <v>18</v>
      </c>
      <c r="F225" s="10" t="s">
        <v>662</v>
      </c>
      <c r="G225" s="24"/>
      <c r="I225" s="5" t="str">
        <f t="shared" si="7"/>
        <v>D1</v>
      </c>
      <c r="J225" t="s">
        <v>581</v>
      </c>
      <c r="K225" t="str">
        <f t="shared" si="6"/>
        <v>30HDA10AF005</v>
      </c>
      <c r="M225" s="20">
        <v>30</v>
      </c>
      <c r="N225" s="20" t="s">
        <v>646</v>
      </c>
      <c r="O225" s="21" t="s">
        <v>46</v>
      </c>
      <c r="P225" s="20" t="s">
        <v>209</v>
      </c>
      <c r="Q225" s="21" t="s">
        <v>248</v>
      </c>
    </row>
    <row r="226" spans="1:17" x14ac:dyDescent="0.3">
      <c r="A226" t="s">
        <v>663</v>
      </c>
      <c r="B226" s="19" t="s">
        <v>11</v>
      </c>
      <c r="C226" s="20" t="s">
        <v>664</v>
      </c>
      <c r="D226" s="21" t="s">
        <v>648</v>
      </c>
      <c r="E226" s="10">
        <v>17</v>
      </c>
      <c r="F226" s="10" t="s">
        <v>665</v>
      </c>
      <c r="G226" s="24"/>
      <c r="I226" s="5" t="str">
        <f t="shared" si="7"/>
        <v>D1</v>
      </c>
      <c r="K226" t="str">
        <f t="shared" si="6"/>
        <v>30HDA10AF006</v>
      </c>
      <c r="M226" s="20">
        <v>30</v>
      </c>
      <c r="N226" s="20" t="s">
        <v>646</v>
      </c>
      <c r="O226" s="21" t="s">
        <v>46</v>
      </c>
      <c r="P226" s="20" t="s">
        <v>209</v>
      </c>
      <c r="Q226" s="21" t="s">
        <v>254</v>
      </c>
    </row>
    <row r="227" spans="1:17" x14ac:dyDescent="0.3">
      <c r="A227" t="s">
        <v>666</v>
      </c>
      <c r="B227" s="19" t="s">
        <v>11</v>
      </c>
      <c r="C227" s="20" t="s">
        <v>667</v>
      </c>
      <c r="D227" s="21" t="s">
        <v>648</v>
      </c>
      <c r="E227" s="23">
        <v>7</v>
      </c>
      <c r="F227" s="23" t="s">
        <v>229</v>
      </c>
      <c r="G227" s="24"/>
      <c r="I227" s="5" t="str">
        <f t="shared" si="7"/>
        <v>E7</v>
      </c>
      <c r="K227" t="str">
        <f t="shared" si="6"/>
        <v>30HDA10AF007</v>
      </c>
      <c r="M227" s="20">
        <v>30</v>
      </c>
      <c r="N227" s="20" t="s">
        <v>646</v>
      </c>
      <c r="O227" s="21" t="s">
        <v>46</v>
      </c>
      <c r="P227" s="20" t="s">
        <v>209</v>
      </c>
      <c r="Q227" s="21" t="s">
        <v>571</v>
      </c>
    </row>
    <row r="228" spans="1:17" x14ac:dyDescent="0.3">
      <c r="A228" t="s">
        <v>668</v>
      </c>
      <c r="B228" s="19" t="s">
        <v>11</v>
      </c>
      <c r="C228" s="20" t="s">
        <v>669</v>
      </c>
      <c r="D228" s="21" t="s">
        <v>648</v>
      </c>
      <c r="E228" s="10">
        <v>12</v>
      </c>
      <c r="F228" s="10" t="s">
        <v>670</v>
      </c>
      <c r="G228" s="24"/>
      <c r="I228" s="5" t="str">
        <f t="shared" si="7"/>
        <v>F1</v>
      </c>
      <c r="J228" t="s">
        <v>671</v>
      </c>
      <c r="K228" t="str">
        <f t="shared" si="6"/>
        <v>30HDA10AF010</v>
      </c>
      <c r="M228" s="20">
        <v>30</v>
      </c>
      <c r="N228" s="20" t="s">
        <v>646</v>
      </c>
      <c r="O228" s="21" t="s">
        <v>46</v>
      </c>
      <c r="P228" s="20" t="s">
        <v>209</v>
      </c>
      <c r="Q228" s="21" t="s">
        <v>82</v>
      </c>
    </row>
    <row r="229" spans="1:17" x14ac:dyDescent="0.3">
      <c r="A229" t="s">
        <v>672</v>
      </c>
      <c r="B229" s="19" t="s">
        <v>11</v>
      </c>
      <c r="C229" s="20" t="s">
        <v>673</v>
      </c>
      <c r="D229" s="21" t="s">
        <v>648</v>
      </c>
      <c r="E229" s="10">
        <v>12</v>
      </c>
      <c r="F229" s="10" t="s">
        <v>674</v>
      </c>
      <c r="G229" s="24"/>
      <c r="I229" s="5" t="str">
        <f t="shared" si="7"/>
        <v>E1</v>
      </c>
      <c r="J229" t="s">
        <v>89</v>
      </c>
      <c r="K229" t="str">
        <f t="shared" si="6"/>
        <v>30HDA10AF011</v>
      </c>
      <c r="M229" s="20">
        <v>30</v>
      </c>
      <c r="N229" s="20" t="s">
        <v>646</v>
      </c>
      <c r="O229" s="21" t="s">
        <v>46</v>
      </c>
      <c r="P229" s="20" t="s">
        <v>209</v>
      </c>
      <c r="Q229" s="21" t="s">
        <v>214</v>
      </c>
    </row>
    <row r="230" spans="1:17" x14ac:dyDescent="0.3">
      <c r="A230" t="s">
        <v>675</v>
      </c>
      <c r="B230" s="19" t="s">
        <v>11</v>
      </c>
      <c r="C230" s="20" t="s">
        <v>676</v>
      </c>
      <c r="D230" s="21" t="s">
        <v>648</v>
      </c>
      <c r="E230" s="10">
        <v>14</v>
      </c>
      <c r="F230" s="10" t="s">
        <v>677</v>
      </c>
      <c r="G230" s="24"/>
      <c r="I230" s="5" t="str">
        <f t="shared" si="7"/>
        <v>F1</v>
      </c>
      <c r="J230" t="s">
        <v>678</v>
      </c>
      <c r="K230" t="str">
        <f t="shared" si="6"/>
        <v>30HDA10AF012</v>
      </c>
      <c r="M230" s="20">
        <v>30</v>
      </c>
      <c r="N230" s="20" t="s">
        <v>646</v>
      </c>
      <c r="O230" s="21" t="s">
        <v>46</v>
      </c>
      <c r="P230" s="20" t="s">
        <v>209</v>
      </c>
      <c r="Q230" s="21" t="s">
        <v>219</v>
      </c>
    </row>
    <row r="231" spans="1:17" x14ac:dyDescent="0.3">
      <c r="A231" t="s">
        <v>679</v>
      </c>
      <c r="B231" s="19" t="s">
        <v>11</v>
      </c>
      <c r="C231" s="20" t="s">
        <v>680</v>
      </c>
      <c r="D231" s="21" t="s">
        <v>648</v>
      </c>
      <c r="E231" s="10">
        <v>16</v>
      </c>
      <c r="F231" s="10" t="s">
        <v>681</v>
      </c>
      <c r="G231" s="24"/>
      <c r="I231" s="5" t="str">
        <f t="shared" si="7"/>
        <v>D1</v>
      </c>
      <c r="J231" t="s">
        <v>682</v>
      </c>
      <c r="K231" t="str">
        <f t="shared" si="6"/>
        <v>30HDA10AF004</v>
      </c>
      <c r="M231" s="20">
        <v>30</v>
      </c>
      <c r="N231" s="20" t="s">
        <v>646</v>
      </c>
      <c r="O231" s="21" t="s">
        <v>46</v>
      </c>
      <c r="P231" s="20" t="s">
        <v>209</v>
      </c>
      <c r="Q231" s="21" t="s">
        <v>242</v>
      </c>
    </row>
    <row r="232" spans="1:17" x14ac:dyDescent="0.3">
      <c r="A232" t="s">
        <v>683</v>
      </c>
      <c r="B232" s="19" t="s">
        <v>11</v>
      </c>
      <c r="C232" s="20" t="s">
        <v>647</v>
      </c>
      <c r="D232" s="21" t="s">
        <v>648</v>
      </c>
      <c r="E232" s="10">
        <v>17</v>
      </c>
      <c r="F232" s="10" t="s">
        <v>685</v>
      </c>
      <c r="G232" s="24"/>
      <c r="I232" s="5" t="str">
        <f t="shared" si="7"/>
        <v>G1</v>
      </c>
      <c r="J232" t="s">
        <v>116</v>
      </c>
      <c r="K232" t="str">
        <f t="shared" si="6"/>
        <v>30HDA10GY002</v>
      </c>
      <c r="M232" s="20">
        <v>30</v>
      </c>
      <c r="N232" s="20" t="s">
        <v>646</v>
      </c>
      <c r="O232" s="21" t="s">
        <v>46</v>
      </c>
      <c r="P232" s="20" t="s">
        <v>684</v>
      </c>
      <c r="Q232" s="21" t="s">
        <v>233</v>
      </c>
    </row>
    <row r="233" spans="1:17" x14ac:dyDescent="0.3">
      <c r="A233" t="s">
        <v>686</v>
      </c>
      <c r="B233" s="19" t="s">
        <v>11</v>
      </c>
      <c r="C233" s="20" t="s">
        <v>651</v>
      </c>
      <c r="D233" s="21" t="s">
        <v>648</v>
      </c>
      <c r="E233" s="10">
        <v>18</v>
      </c>
      <c r="F233" s="10" t="s">
        <v>687</v>
      </c>
      <c r="G233" s="24"/>
      <c r="I233" s="5" t="str">
        <f t="shared" si="7"/>
        <v>G1</v>
      </c>
      <c r="J233" t="s">
        <v>53</v>
      </c>
      <c r="K233" t="str">
        <f t="shared" si="6"/>
        <v>30HDA10AF002</v>
      </c>
      <c r="M233" s="20">
        <v>30</v>
      </c>
      <c r="N233" s="20" t="s">
        <v>646</v>
      </c>
      <c r="O233" s="21" t="s">
        <v>46</v>
      </c>
      <c r="P233" s="20" t="s">
        <v>209</v>
      </c>
      <c r="Q233" s="21" t="s">
        <v>233</v>
      </c>
    </row>
    <row r="234" spans="1:17" x14ac:dyDescent="0.3">
      <c r="A234" t="s">
        <v>688</v>
      </c>
      <c r="B234" s="19" t="s">
        <v>11</v>
      </c>
      <c r="C234" s="20" t="s">
        <v>659</v>
      </c>
      <c r="D234" s="21" t="s">
        <v>648</v>
      </c>
      <c r="E234" s="23">
        <v>7</v>
      </c>
      <c r="F234" s="23" t="s">
        <v>288</v>
      </c>
      <c r="G234" s="24"/>
      <c r="I234" s="5" t="str">
        <f t="shared" si="7"/>
        <v>D7</v>
      </c>
      <c r="J234" t="s">
        <v>97</v>
      </c>
      <c r="K234" t="str">
        <f t="shared" si="6"/>
        <v>30HDA10GY004</v>
      </c>
      <c r="M234" s="20">
        <v>30</v>
      </c>
      <c r="N234" s="20" t="s">
        <v>646</v>
      </c>
      <c r="O234" s="21" t="s">
        <v>46</v>
      </c>
      <c r="P234" s="20" t="s">
        <v>684</v>
      </c>
      <c r="Q234" s="21" t="s">
        <v>242</v>
      </c>
    </row>
    <row r="235" spans="1:17" x14ac:dyDescent="0.3">
      <c r="A235" t="s">
        <v>689</v>
      </c>
      <c r="B235" s="15" t="s">
        <v>38</v>
      </c>
      <c r="C235" s="13" t="s">
        <v>691</v>
      </c>
      <c r="D235" s="14" t="s">
        <v>692</v>
      </c>
      <c r="E235" s="16">
        <v>2</v>
      </c>
      <c r="F235" s="16" t="s">
        <v>26</v>
      </c>
      <c r="G235" s="17"/>
      <c r="I235" s="5" t="str">
        <f t="shared" si="7"/>
        <v>B2</v>
      </c>
      <c r="J235" t="s">
        <v>693</v>
      </c>
      <c r="K235" t="str">
        <f t="shared" si="6"/>
        <v>30HDA17AN001</v>
      </c>
      <c r="M235" s="13">
        <v>30</v>
      </c>
      <c r="N235" s="13" t="s">
        <v>646</v>
      </c>
      <c r="O235" s="14" t="s">
        <v>690</v>
      </c>
      <c r="P235" s="13" t="s">
        <v>273</v>
      </c>
      <c r="Q235" s="14" t="s">
        <v>48</v>
      </c>
    </row>
    <row r="236" spans="1:17" x14ac:dyDescent="0.3">
      <c r="A236" t="s">
        <v>694</v>
      </c>
      <c r="B236" s="19" t="s">
        <v>11</v>
      </c>
      <c r="C236" s="20" t="s">
        <v>696</v>
      </c>
      <c r="D236" s="21"/>
      <c r="E236" s="23"/>
      <c r="F236" s="23"/>
      <c r="G236" s="24"/>
      <c r="I236" s="5" t="str">
        <f t="shared" si="7"/>
        <v/>
      </c>
      <c r="J236" t="s">
        <v>62</v>
      </c>
      <c r="K236" t="str">
        <f t="shared" si="6"/>
        <v>30HDC</v>
      </c>
      <c r="M236" s="20">
        <v>30</v>
      </c>
      <c r="N236" s="20" t="s">
        <v>695</v>
      </c>
      <c r="O236" s="21"/>
      <c r="P236" s="20"/>
      <c r="Q236" s="21"/>
    </row>
    <row r="237" spans="1:17" x14ac:dyDescent="0.3">
      <c r="A237" t="s">
        <v>697</v>
      </c>
      <c r="B237" s="19" t="s">
        <v>11</v>
      </c>
      <c r="C237" s="20" t="s">
        <v>699</v>
      </c>
      <c r="D237" s="21"/>
      <c r="E237" s="11">
        <v>11</v>
      </c>
      <c r="F237" s="11" t="s">
        <v>700</v>
      </c>
      <c r="G237" s="24"/>
      <c r="I237" s="5" t="str">
        <f t="shared" si="7"/>
        <v>A1</v>
      </c>
      <c r="J237" t="s">
        <v>528</v>
      </c>
      <c r="K237" t="str">
        <f t="shared" si="6"/>
        <v>30HDC00GH001</v>
      </c>
      <c r="M237" s="20">
        <v>30</v>
      </c>
      <c r="N237" s="20" t="s">
        <v>695</v>
      </c>
      <c r="O237" s="21" t="s">
        <v>698</v>
      </c>
      <c r="P237" s="20" t="s">
        <v>190</v>
      </c>
      <c r="Q237" s="21" t="s">
        <v>48</v>
      </c>
    </row>
    <row r="238" spans="1:17" x14ac:dyDescent="0.3">
      <c r="A238" s="4" t="s">
        <v>701</v>
      </c>
      <c r="B238" s="4" t="s">
        <v>11</v>
      </c>
      <c r="C238" s="3" t="s">
        <v>702</v>
      </c>
      <c r="D238" s="3"/>
      <c r="E238" s="3"/>
      <c r="F238" s="3" t="s">
        <v>703</v>
      </c>
      <c r="G238" s="3"/>
      <c r="I238" s="5" t="str">
        <f t="shared" si="7"/>
        <v>F1</v>
      </c>
      <c r="J238" t="s">
        <v>624</v>
      </c>
      <c r="K238" t="str">
        <f t="shared" si="6"/>
        <v/>
      </c>
      <c r="M238" s="3"/>
      <c r="N238" s="3"/>
      <c r="O238" s="3"/>
      <c r="P238" s="3"/>
      <c r="Q238" s="3"/>
    </row>
    <row r="239" spans="1:17" x14ac:dyDescent="0.3">
      <c r="A239" t="s">
        <v>701</v>
      </c>
      <c r="B239" s="19" t="s">
        <v>11</v>
      </c>
      <c r="C239" s="20" t="s">
        <v>704</v>
      </c>
      <c r="D239" s="21" t="s">
        <v>648</v>
      </c>
      <c r="E239" s="10">
        <v>18</v>
      </c>
      <c r="F239" s="10" t="s">
        <v>705</v>
      </c>
      <c r="G239" s="24"/>
      <c r="I239" s="5" t="str">
        <f t="shared" si="7"/>
        <v>F1</v>
      </c>
      <c r="J239" t="s">
        <v>109</v>
      </c>
      <c r="K239" t="str">
        <f t="shared" si="6"/>
        <v>30HDC10AF001</v>
      </c>
      <c r="M239" s="20">
        <v>30</v>
      </c>
      <c r="N239" s="20" t="s">
        <v>695</v>
      </c>
      <c r="O239" s="21" t="s">
        <v>46</v>
      </c>
      <c r="P239" s="20" t="s">
        <v>209</v>
      </c>
      <c r="Q239" s="21" t="s">
        <v>48</v>
      </c>
    </row>
    <row r="240" spans="1:17" x14ac:dyDescent="0.3">
      <c r="A240" t="s">
        <v>706</v>
      </c>
      <c r="B240" t="s">
        <v>11</v>
      </c>
      <c r="C240" s="6" t="s">
        <v>702</v>
      </c>
      <c r="D240" s="6"/>
      <c r="E240" s="6"/>
      <c r="F240" s="6" t="s">
        <v>321</v>
      </c>
      <c r="G240" s="6"/>
      <c r="I240" s="5" t="str">
        <f t="shared" si="7"/>
        <v>B7</v>
      </c>
      <c r="J240" t="s">
        <v>707</v>
      </c>
      <c r="K240" t="str">
        <f t="shared" si="6"/>
        <v/>
      </c>
      <c r="M240" s="6"/>
      <c r="N240" s="6"/>
      <c r="O240" s="6"/>
      <c r="P240" s="6"/>
      <c r="Q240" s="6"/>
    </row>
    <row r="241" spans="1:17" x14ac:dyDescent="0.3">
      <c r="A241" t="s">
        <v>706</v>
      </c>
      <c r="B241" s="19" t="s">
        <v>11</v>
      </c>
      <c r="C241" s="20" t="s">
        <v>708</v>
      </c>
      <c r="D241" s="21" t="s">
        <v>648</v>
      </c>
      <c r="E241" s="23">
        <v>7</v>
      </c>
      <c r="F241" s="23" t="s">
        <v>319</v>
      </c>
      <c r="G241" s="24"/>
      <c r="I241" s="5" t="str">
        <f t="shared" si="7"/>
        <v>B7</v>
      </c>
      <c r="J241" t="s">
        <v>709</v>
      </c>
      <c r="K241" t="str">
        <f t="shared" si="6"/>
        <v>30HDC10AF002</v>
      </c>
      <c r="M241" s="20">
        <v>30</v>
      </c>
      <c r="N241" s="20" t="s">
        <v>695</v>
      </c>
      <c r="O241" s="21" t="s">
        <v>46</v>
      </c>
      <c r="P241" s="20" t="s">
        <v>209</v>
      </c>
      <c r="Q241" s="21" t="s">
        <v>233</v>
      </c>
    </row>
    <row r="242" spans="1:17" x14ac:dyDescent="0.3">
      <c r="A242" s="4" t="s">
        <v>710</v>
      </c>
      <c r="B242" s="4" t="s">
        <v>11</v>
      </c>
      <c r="C242" s="3" t="s">
        <v>711</v>
      </c>
      <c r="D242" s="3"/>
      <c r="E242" s="3"/>
      <c r="F242" s="3" t="s">
        <v>712</v>
      </c>
      <c r="G242" s="3"/>
      <c r="I242" s="5" t="str">
        <f t="shared" si="7"/>
        <v>E9</v>
      </c>
      <c r="J242" t="s">
        <v>713</v>
      </c>
      <c r="K242" t="str">
        <f t="shared" si="6"/>
        <v/>
      </c>
      <c r="M242" s="3"/>
      <c r="N242" s="3"/>
      <c r="O242" s="3"/>
      <c r="P242" s="3"/>
      <c r="Q242" s="3"/>
    </row>
    <row r="243" spans="1:17" x14ac:dyDescent="0.3">
      <c r="A243" t="s">
        <v>710</v>
      </c>
      <c r="B243" s="19" t="s">
        <v>11</v>
      </c>
      <c r="C243" s="20" t="s">
        <v>715</v>
      </c>
      <c r="D243" s="21" t="s">
        <v>648</v>
      </c>
      <c r="E243" s="10">
        <v>9</v>
      </c>
      <c r="F243" s="10" t="s">
        <v>716</v>
      </c>
      <c r="G243" s="24"/>
      <c r="I243" s="5" t="str">
        <f t="shared" si="7"/>
        <v>E9</v>
      </c>
      <c r="J243" t="s">
        <v>566</v>
      </c>
      <c r="K243" t="str">
        <f t="shared" si="6"/>
        <v>30HDC15AF001</v>
      </c>
      <c r="M243" s="20">
        <v>30</v>
      </c>
      <c r="N243" s="20" t="s">
        <v>695</v>
      </c>
      <c r="O243" s="21" t="s">
        <v>714</v>
      </c>
      <c r="P243" s="20" t="s">
        <v>209</v>
      </c>
      <c r="Q243" s="21" t="s">
        <v>48</v>
      </c>
    </row>
    <row r="244" spans="1:17" x14ac:dyDescent="0.3">
      <c r="A244" t="s">
        <v>717</v>
      </c>
      <c r="B244" t="s">
        <v>11</v>
      </c>
      <c r="C244" s="6" t="s">
        <v>718</v>
      </c>
      <c r="D244" s="6"/>
      <c r="E244" s="6"/>
      <c r="F244" s="6" t="s">
        <v>719</v>
      </c>
      <c r="G244" s="6"/>
      <c r="I244" s="5" t="str">
        <f t="shared" si="7"/>
        <v>E1</v>
      </c>
      <c r="J244" t="s">
        <v>577</v>
      </c>
      <c r="K244" t="str">
        <f t="shared" si="6"/>
        <v/>
      </c>
      <c r="M244" s="6"/>
      <c r="N244" s="6"/>
      <c r="O244" s="6"/>
      <c r="P244" s="6"/>
      <c r="Q244" s="6"/>
    </row>
    <row r="245" spans="1:17" x14ac:dyDescent="0.3">
      <c r="A245" t="s">
        <v>717</v>
      </c>
      <c r="B245" s="19" t="s">
        <v>11</v>
      </c>
      <c r="C245" s="20" t="s">
        <v>720</v>
      </c>
      <c r="D245" s="21" t="s">
        <v>648</v>
      </c>
      <c r="E245" s="10">
        <v>10</v>
      </c>
      <c r="F245" s="10" t="s">
        <v>324</v>
      </c>
      <c r="G245" s="24"/>
      <c r="I245" s="5" t="str">
        <f t="shared" si="7"/>
        <v>E1</v>
      </c>
      <c r="J245" t="s">
        <v>721</v>
      </c>
      <c r="K245" t="str">
        <f t="shared" si="6"/>
        <v>30HDC15AF002</v>
      </c>
      <c r="M245" s="20">
        <v>30</v>
      </c>
      <c r="N245" s="20" t="s">
        <v>695</v>
      </c>
      <c r="O245" s="21" t="s">
        <v>714</v>
      </c>
      <c r="P245" s="20" t="s">
        <v>209</v>
      </c>
      <c r="Q245" s="21" t="s">
        <v>233</v>
      </c>
    </row>
    <row r="246" spans="1:17" x14ac:dyDescent="0.3">
      <c r="A246" s="4" t="s">
        <v>722</v>
      </c>
      <c r="B246" s="4" t="s">
        <v>11</v>
      </c>
      <c r="C246" s="3" t="s">
        <v>723</v>
      </c>
      <c r="D246" s="3"/>
      <c r="E246" s="3"/>
      <c r="F246" s="3" t="s">
        <v>724</v>
      </c>
      <c r="G246" s="3"/>
      <c r="I246" s="5" t="str">
        <f t="shared" si="7"/>
        <v>F1</v>
      </c>
      <c r="J246" t="s">
        <v>102</v>
      </c>
      <c r="K246" t="str">
        <f t="shared" si="6"/>
        <v/>
      </c>
      <c r="M246" s="3"/>
      <c r="N246" s="3"/>
      <c r="O246" s="3"/>
      <c r="P246" s="3"/>
      <c r="Q246" s="3"/>
    </row>
    <row r="247" spans="1:17" x14ac:dyDescent="0.3">
      <c r="A247" t="s">
        <v>722</v>
      </c>
      <c r="B247" s="19" t="s">
        <v>11</v>
      </c>
      <c r="C247" s="20" t="s">
        <v>725</v>
      </c>
      <c r="D247" s="21" t="s">
        <v>648</v>
      </c>
      <c r="E247" s="10">
        <v>17</v>
      </c>
      <c r="F247" s="10" t="s">
        <v>726</v>
      </c>
      <c r="G247" s="24"/>
      <c r="I247" s="5" t="str">
        <f t="shared" si="7"/>
        <v>F1</v>
      </c>
      <c r="J247" t="s">
        <v>592</v>
      </c>
      <c r="K247" t="str">
        <f t="shared" si="6"/>
        <v>30HDC15AF003</v>
      </c>
      <c r="M247" s="20">
        <v>30</v>
      </c>
      <c r="N247" s="20" t="s">
        <v>695</v>
      </c>
      <c r="O247" s="21" t="s">
        <v>714</v>
      </c>
      <c r="P247" s="20" t="s">
        <v>209</v>
      </c>
      <c r="Q247" s="21" t="s">
        <v>317</v>
      </c>
    </row>
    <row r="248" spans="1:17" x14ac:dyDescent="0.3">
      <c r="A248" t="s">
        <v>727</v>
      </c>
      <c r="B248" t="s">
        <v>11</v>
      </c>
      <c r="C248" s="6" t="s">
        <v>728</v>
      </c>
      <c r="D248" s="6"/>
      <c r="E248" s="6"/>
      <c r="F248" s="6" t="s">
        <v>729</v>
      </c>
      <c r="G248" s="6"/>
      <c r="I248" s="5" t="str">
        <f t="shared" si="7"/>
        <v>B1</v>
      </c>
      <c r="J248" t="s">
        <v>6</v>
      </c>
      <c r="K248" t="str">
        <f t="shared" si="6"/>
        <v/>
      </c>
      <c r="M248" s="6"/>
      <c r="N248" s="6"/>
      <c r="O248" s="6"/>
      <c r="P248" s="6"/>
      <c r="Q248" s="6"/>
    </row>
    <row r="249" spans="1:17" x14ac:dyDescent="0.3">
      <c r="A249" t="s">
        <v>727</v>
      </c>
      <c r="B249" s="19" t="s">
        <v>11</v>
      </c>
      <c r="C249" s="20" t="s">
        <v>730</v>
      </c>
      <c r="D249" s="21" t="s">
        <v>648</v>
      </c>
      <c r="E249" s="10">
        <v>18</v>
      </c>
      <c r="F249" s="10" t="s">
        <v>731</v>
      </c>
      <c r="G249" s="24"/>
      <c r="I249" s="5" t="str">
        <f t="shared" si="7"/>
        <v>B1</v>
      </c>
      <c r="J249" t="s">
        <v>138</v>
      </c>
      <c r="K249" t="str">
        <f t="shared" si="6"/>
        <v>30HDC15AF004</v>
      </c>
      <c r="M249" s="20">
        <v>30</v>
      </c>
      <c r="N249" s="20" t="s">
        <v>695</v>
      </c>
      <c r="O249" s="21" t="s">
        <v>714</v>
      </c>
      <c r="P249" s="20" t="s">
        <v>209</v>
      </c>
      <c r="Q249" s="21" t="s">
        <v>242</v>
      </c>
    </row>
    <row r="250" spans="1:17" x14ac:dyDescent="0.3">
      <c r="A250" s="4" t="s">
        <v>732</v>
      </c>
      <c r="B250" s="4" t="s">
        <v>11</v>
      </c>
      <c r="C250" s="3" t="s">
        <v>733</v>
      </c>
      <c r="D250" s="3"/>
      <c r="E250" s="3"/>
      <c r="F250" s="3" t="s">
        <v>238</v>
      </c>
      <c r="G250" s="3"/>
      <c r="I250" s="5" t="str">
        <f t="shared" si="7"/>
        <v>B8</v>
      </c>
      <c r="J250" t="s">
        <v>105</v>
      </c>
      <c r="K250" t="str">
        <f t="shared" si="6"/>
        <v/>
      </c>
      <c r="M250" s="3"/>
      <c r="N250" s="3"/>
      <c r="O250" s="3"/>
      <c r="P250" s="3"/>
      <c r="Q250" s="3"/>
    </row>
    <row r="251" spans="1:17" x14ac:dyDescent="0.3">
      <c r="A251" t="s">
        <v>732</v>
      </c>
      <c r="B251" s="19" t="s">
        <v>11</v>
      </c>
      <c r="C251" s="20" t="s">
        <v>734</v>
      </c>
      <c r="D251" s="21" t="s">
        <v>648</v>
      </c>
      <c r="E251" s="10">
        <v>8</v>
      </c>
      <c r="F251" s="10" t="s">
        <v>330</v>
      </c>
      <c r="G251" s="24"/>
      <c r="I251" s="5" t="str">
        <f t="shared" si="7"/>
        <v>B8</v>
      </c>
      <c r="J251" t="s">
        <v>735</v>
      </c>
      <c r="K251" t="str">
        <f t="shared" si="6"/>
        <v>30HDC20AF001</v>
      </c>
      <c r="M251" s="20">
        <v>30</v>
      </c>
      <c r="N251" s="20" t="s">
        <v>695</v>
      </c>
      <c r="O251" s="21" t="s">
        <v>64</v>
      </c>
      <c r="P251" s="20" t="s">
        <v>209</v>
      </c>
      <c r="Q251" s="21" t="s">
        <v>48</v>
      </c>
    </row>
    <row r="252" spans="1:17" x14ac:dyDescent="0.3">
      <c r="A252" t="s">
        <v>736</v>
      </c>
      <c r="B252" t="s">
        <v>11</v>
      </c>
      <c r="C252" s="6" t="s">
        <v>737</v>
      </c>
      <c r="D252" s="6"/>
      <c r="E252" s="6"/>
      <c r="F252" s="6" t="s">
        <v>738</v>
      </c>
      <c r="G252" s="6"/>
      <c r="I252" s="5" t="str">
        <f t="shared" si="7"/>
        <v>B9</v>
      </c>
      <c r="J252" t="s">
        <v>6</v>
      </c>
      <c r="K252" t="str">
        <f t="shared" si="6"/>
        <v/>
      </c>
      <c r="M252" s="6"/>
      <c r="N252" s="6"/>
      <c r="O252" s="6"/>
      <c r="P252" s="6"/>
      <c r="Q252" s="6"/>
    </row>
    <row r="253" spans="1:17" x14ac:dyDescent="0.3">
      <c r="A253" t="s">
        <v>736</v>
      </c>
      <c r="B253" s="19" t="s">
        <v>11</v>
      </c>
      <c r="C253" s="20" t="s">
        <v>739</v>
      </c>
      <c r="D253" s="21" t="s">
        <v>648</v>
      </c>
      <c r="E253" s="10">
        <v>9</v>
      </c>
      <c r="F253" s="10" t="s">
        <v>740</v>
      </c>
      <c r="G253" s="24"/>
      <c r="I253" s="5" t="str">
        <f t="shared" si="7"/>
        <v>B9</v>
      </c>
      <c r="J253" t="s">
        <v>112</v>
      </c>
      <c r="K253" t="str">
        <f t="shared" si="6"/>
        <v>30HDC20AF002</v>
      </c>
      <c r="M253" s="20">
        <v>30</v>
      </c>
      <c r="N253" s="20" t="s">
        <v>695</v>
      </c>
      <c r="O253" s="21" t="s">
        <v>64</v>
      </c>
      <c r="P253" s="20" t="s">
        <v>209</v>
      </c>
      <c r="Q253" s="21" t="s">
        <v>233</v>
      </c>
    </row>
    <row r="254" spans="1:17" x14ac:dyDescent="0.3">
      <c r="A254" s="4" t="s">
        <v>741</v>
      </c>
      <c r="B254" s="4" t="s">
        <v>11</v>
      </c>
      <c r="C254" s="3" t="s">
        <v>742</v>
      </c>
      <c r="D254" s="3"/>
      <c r="E254" s="3"/>
      <c r="F254" s="3" t="s">
        <v>743</v>
      </c>
      <c r="G254" s="3"/>
      <c r="I254" s="5" t="str">
        <f t="shared" si="7"/>
        <v>E1</v>
      </c>
      <c r="J254" t="s">
        <v>744</v>
      </c>
      <c r="K254" t="str">
        <f t="shared" si="6"/>
        <v/>
      </c>
      <c r="M254" s="3"/>
      <c r="N254" s="3"/>
      <c r="O254" s="3"/>
      <c r="P254" s="3"/>
      <c r="Q254" s="3"/>
    </row>
    <row r="255" spans="1:17" x14ac:dyDescent="0.3">
      <c r="A255" t="s">
        <v>741</v>
      </c>
      <c r="B255" s="19" t="s">
        <v>11</v>
      </c>
      <c r="C255" s="20" t="s">
        <v>746</v>
      </c>
      <c r="D255" s="21" t="s">
        <v>648</v>
      </c>
      <c r="E255" s="10">
        <v>16</v>
      </c>
      <c r="F255" s="10" t="s">
        <v>747</v>
      </c>
      <c r="G255" s="24"/>
      <c r="I255" s="5" t="str">
        <f t="shared" si="7"/>
        <v>E1</v>
      </c>
      <c r="J255" t="s">
        <v>402</v>
      </c>
      <c r="K255" t="str">
        <f t="shared" si="6"/>
        <v>30HDC25AF001</v>
      </c>
      <c r="M255" s="20">
        <v>30</v>
      </c>
      <c r="N255" s="20" t="s">
        <v>695</v>
      </c>
      <c r="O255" s="21" t="s">
        <v>745</v>
      </c>
      <c r="P255" s="20" t="s">
        <v>209</v>
      </c>
      <c r="Q255" s="21" t="s">
        <v>48</v>
      </c>
    </row>
    <row r="256" spans="1:17" x14ac:dyDescent="0.3">
      <c r="A256" t="s">
        <v>748</v>
      </c>
      <c r="B256" t="s">
        <v>11</v>
      </c>
      <c r="C256" s="6" t="s">
        <v>749</v>
      </c>
      <c r="D256" s="6"/>
      <c r="E256" s="6"/>
      <c r="F256" s="6" t="s">
        <v>750</v>
      </c>
      <c r="G256" s="6"/>
      <c r="I256" s="5" t="str">
        <f t="shared" si="7"/>
        <v>G1</v>
      </c>
      <c r="J256" t="s">
        <v>97</v>
      </c>
      <c r="K256" t="str">
        <f t="shared" si="6"/>
        <v/>
      </c>
      <c r="M256" s="6"/>
      <c r="N256" s="6"/>
      <c r="O256" s="6"/>
      <c r="P256" s="6"/>
      <c r="Q256" s="6"/>
    </row>
    <row r="257" spans="1:17" x14ac:dyDescent="0.3">
      <c r="A257" t="s">
        <v>748</v>
      </c>
      <c r="B257" s="19" t="s">
        <v>11</v>
      </c>
      <c r="C257" s="20" t="s">
        <v>751</v>
      </c>
      <c r="D257" s="21" t="s">
        <v>648</v>
      </c>
      <c r="E257" s="10">
        <v>16</v>
      </c>
      <c r="F257" s="10" t="s">
        <v>752</v>
      </c>
      <c r="G257" s="24"/>
      <c r="I257" s="5" t="str">
        <f t="shared" si="7"/>
        <v>G1</v>
      </c>
      <c r="J257" t="s">
        <v>581</v>
      </c>
      <c r="K257" t="str">
        <f t="shared" si="6"/>
        <v>30HDC25AF002</v>
      </c>
      <c r="M257" s="20">
        <v>30</v>
      </c>
      <c r="N257" s="20" t="s">
        <v>695</v>
      </c>
      <c r="O257" s="21" t="s">
        <v>745</v>
      </c>
      <c r="P257" s="20" t="s">
        <v>209</v>
      </c>
      <c r="Q257" s="21" t="s">
        <v>233</v>
      </c>
    </row>
    <row r="258" spans="1:17" x14ac:dyDescent="0.3">
      <c r="A258" s="4" t="s">
        <v>753</v>
      </c>
      <c r="B258" s="4" t="s">
        <v>11</v>
      </c>
      <c r="C258" s="3" t="s">
        <v>754</v>
      </c>
      <c r="D258" s="3"/>
      <c r="E258" s="3"/>
      <c r="F258" s="3" t="s">
        <v>311</v>
      </c>
      <c r="G258" s="3"/>
      <c r="I258" s="5" t="str">
        <f t="shared" si="7"/>
        <v>F8</v>
      </c>
      <c r="J258" t="s">
        <v>640</v>
      </c>
      <c r="K258" t="str">
        <f t="shared" ref="K258:K321" si="8">M258 &amp; N258 &amp; O258 &amp; P258 &amp; Q258</f>
        <v/>
      </c>
      <c r="M258" s="3"/>
      <c r="N258" s="3"/>
      <c r="O258" s="3"/>
      <c r="P258" s="3"/>
      <c r="Q258" s="3"/>
    </row>
    <row r="259" spans="1:17" x14ac:dyDescent="0.3">
      <c r="A259" t="s">
        <v>753</v>
      </c>
      <c r="B259" s="19" t="s">
        <v>11</v>
      </c>
      <c r="C259" s="20" t="s">
        <v>755</v>
      </c>
      <c r="D259" s="21" t="s">
        <v>648</v>
      </c>
      <c r="E259" s="10">
        <v>8</v>
      </c>
      <c r="F259" s="10" t="s">
        <v>315</v>
      </c>
      <c r="G259" s="24"/>
      <c r="I259" s="5" t="str">
        <f t="shared" si="7"/>
        <v>F8</v>
      </c>
      <c r="J259" t="s">
        <v>587</v>
      </c>
      <c r="K259" t="str">
        <f t="shared" si="8"/>
        <v>30HDC25AF003</v>
      </c>
      <c r="M259" s="20">
        <v>30</v>
      </c>
      <c r="N259" s="20" t="s">
        <v>695</v>
      </c>
      <c r="O259" s="21" t="s">
        <v>745</v>
      </c>
      <c r="P259" s="20" t="s">
        <v>209</v>
      </c>
      <c r="Q259" s="21" t="s">
        <v>317</v>
      </c>
    </row>
    <row r="260" spans="1:17" x14ac:dyDescent="0.3">
      <c r="A260" t="s">
        <v>756</v>
      </c>
      <c r="B260" t="s">
        <v>11</v>
      </c>
      <c r="C260" s="6" t="s">
        <v>757</v>
      </c>
      <c r="D260" s="6"/>
      <c r="E260" s="6"/>
      <c r="F260" s="6" t="s">
        <v>758</v>
      </c>
      <c r="G260" s="6"/>
      <c r="I260" s="5" t="str">
        <f t="shared" si="7"/>
        <v>F9</v>
      </c>
      <c r="J260" t="s">
        <v>759</v>
      </c>
      <c r="K260" t="str">
        <f t="shared" si="8"/>
        <v/>
      </c>
      <c r="M260" s="6"/>
      <c r="N260" s="6"/>
      <c r="O260" s="6"/>
      <c r="P260" s="6"/>
      <c r="Q260" s="6"/>
    </row>
    <row r="261" spans="1:17" x14ac:dyDescent="0.3">
      <c r="A261" t="s">
        <v>756</v>
      </c>
      <c r="B261" s="19" t="s">
        <v>11</v>
      </c>
      <c r="C261" s="20" t="s">
        <v>760</v>
      </c>
      <c r="D261" s="21" t="s">
        <v>648</v>
      </c>
      <c r="E261" s="10">
        <v>9</v>
      </c>
      <c r="F261" s="10" t="s">
        <v>761</v>
      </c>
      <c r="G261" s="24"/>
      <c r="I261" s="5" t="str">
        <f t="shared" si="7"/>
        <v>F9</v>
      </c>
      <c r="J261" t="s">
        <v>362</v>
      </c>
      <c r="K261" t="str">
        <f t="shared" si="8"/>
        <v>30HDC25AF004</v>
      </c>
      <c r="M261" s="20">
        <v>30</v>
      </c>
      <c r="N261" s="20" t="s">
        <v>695</v>
      </c>
      <c r="O261" s="21" t="s">
        <v>745</v>
      </c>
      <c r="P261" s="20" t="s">
        <v>209</v>
      </c>
      <c r="Q261" s="21" t="s">
        <v>242</v>
      </c>
    </row>
    <row r="262" spans="1:17" x14ac:dyDescent="0.3">
      <c r="A262" s="4" t="s">
        <v>762</v>
      </c>
      <c r="B262" s="4" t="s">
        <v>11</v>
      </c>
      <c r="C262" s="3" t="s">
        <v>763</v>
      </c>
      <c r="D262" s="3"/>
      <c r="E262" s="3"/>
      <c r="F262" s="3" t="s">
        <v>259</v>
      </c>
      <c r="G262" s="3"/>
      <c r="I262" s="5" t="str">
        <f t="shared" ref="I262:I325" si="9">RIGHT(F262,1) &amp; LEFT(F262,1)</f>
        <v>F7</v>
      </c>
      <c r="J262" t="s">
        <v>644</v>
      </c>
      <c r="K262" t="str">
        <f t="shared" si="8"/>
        <v/>
      </c>
      <c r="M262" s="3"/>
      <c r="N262" s="3"/>
      <c r="O262" s="3"/>
      <c r="P262" s="3"/>
      <c r="Q262" s="3"/>
    </row>
    <row r="263" spans="1:17" x14ac:dyDescent="0.3">
      <c r="A263" t="s">
        <v>762</v>
      </c>
      <c r="B263" s="19" t="s">
        <v>11</v>
      </c>
      <c r="C263" s="20" t="s">
        <v>764</v>
      </c>
      <c r="D263" s="21" t="s">
        <v>648</v>
      </c>
      <c r="E263" s="23">
        <v>7</v>
      </c>
      <c r="F263" s="23" t="s">
        <v>261</v>
      </c>
      <c r="G263" s="24"/>
      <c r="I263" s="5" t="str">
        <f t="shared" si="9"/>
        <v>F7</v>
      </c>
      <c r="J263" t="s">
        <v>549</v>
      </c>
      <c r="K263" t="str">
        <f t="shared" si="8"/>
        <v>30HDC15AF005</v>
      </c>
      <c r="M263" s="20">
        <v>30</v>
      </c>
      <c r="N263" s="20" t="s">
        <v>695</v>
      </c>
      <c r="O263" s="21" t="s">
        <v>714</v>
      </c>
      <c r="P263" s="20" t="s">
        <v>209</v>
      </c>
      <c r="Q263" s="21" t="s">
        <v>248</v>
      </c>
    </row>
    <row r="264" spans="1:17" x14ac:dyDescent="0.3">
      <c r="A264" t="s">
        <v>765</v>
      </c>
      <c r="B264" t="s">
        <v>11</v>
      </c>
      <c r="C264" s="6" t="s">
        <v>766</v>
      </c>
      <c r="D264" s="6"/>
      <c r="E264" s="6"/>
      <c r="F264" s="6" t="s">
        <v>294</v>
      </c>
      <c r="G264" s="6"/>
      <c r="I264" s="5" t="str">
        <f t="shared" si="9"/>
        <v>D8</v>
      </c>
      <c r="J264" t="s">
        <v>553</v>
      </c>
      <c r="K264" t="str">
        <f t="shared" si="8"/>
        <v/>
      </c>
      <c r="M264" s="6"/>
      <c r="N264" s="6"/>
      <c r="O264" s="6"/>
      <c r="P264" s="6"/>
      <c r="Q264" s="6"/>
    </row>
    <row r="265" spans="1:17" x14ac:dyDescent="0.3">
      <c r="A265" t="s">
        <v>765</v>
      </c>
      <c r="B265" s="19" t="s">
        <v>11</v>
      </c>
      <c r="C265" s="20" t="s">
        <v>767</v>
      </c>
      <c r="D265" s="21" t="s">
        <v>648</v>
      </c>
      <c r="E265" s="10">
        <v>8</v>
      </c>
      <c r="F265" s="10" t="s">
        <v>297</v>
      </c>
      <c r="G265" s="24"/>
      <c r="I265" s="5" t="str">
        <f t="shared" si="9"/>
        <v>D8</v>
      </c>
      <c r="J265" t="s">
        <v>306</v>
      </c>
      <c r="K265" t="str">
        <f t="shared" si="8"/>
        <v>30HDC15AF006</v>
      </c>
      <c r="M265" s="20">
        <v>30</v>
      </c>
      <c r="N265" s="20" t="s">
        <v>695</v>
      </c>
      <c r="O265" s="21" t="s">
        <v>714</v>
      </c>
      <c r="P265" s="20" t="s">
        <v>209</v>
      </c>
      <c r="Q265" s="21" t="s">
        <v>254</v>
      </c>
    </row>
    <row r="266" spans="1:17" x14ac:dyDescent="0.3">
      <c r="A266" s="4" t="s">
        <v>768</v>
      </c>
      <c r="B266" s="4" t="s">
        <v>11</v>
      </c>
      <c r="C266" s="3" t="s">
        <v>769</v>
      </c>
      <c r="D266" s="3"/>
      <c r="E266" s="3"/>
      <c r="F266" s="3" t="s">
        <v>770</v>
      </c>
      <c r="G266" s="3"/>
      <c r="I266" s="5" t="str">
        <f t="shared" si="9"/>
        <v>B1</v>
      </c>
      <c r="J266" t="s">
        <v>89</v>
      </c>
      <c r="K266" t="str">
        <f t="shared" si="8"/>
        <v/>
      </c>
      <c r="M266" s="3"/>
      <c r="N266" s="3"/>
      <c r="O266" s="3"/>
      <c r="P266" s="3"/>
      <c r="Q266" s="3"/>
    </row>
    <row r="267" spans="1:17" x14ac:dyDescent="0.3">
      <c r="A267" t="s">
        <v>768</v>
      </c>
      <c r="B267" s="19" t="s">
        <v>11</v>
      </c>
      <c r="C267" s="20" t="s">
        <v>771</v>
      </c>
      <c r="D267" s="21" t="s">
        <v>648</v>
      </c>
      <c r="E267" s="10">
        <v>10</v>
      </c>
      <c r="F267" s="10" t="s">
        <v>772</v>
      </c>
      <c r="G267" s="24"/>
      <c r="I267" s="5" t="str">
        <f t="shared" si="9"/>
        <v>B1</v>
      </c>
      <c r="J267" t="s">
        <v>89</v>
      </c>
      <c r="K267" t="str">
        <f t="shared" si="8"/>
        <v>30HDC30AF001</v>
      </c>
      <c r="M267" s="20">
        <v>30</v>
      </c>
      <c r="N267" s="20" t="s">
        <v>695</v>
      </c>
      <c r="O267" s="21" t="s">
        <v>37</v>
      </c>
      <c r="P267" s="20" t="s">
        <v>209</v>
      </c>
      <c r="Q267" s="21" t="s">
        <v>48</v>
      </c>
    </row>
    <row r="268" spans="1:17" x14ac:dyDescent="0.3">
      <c r="A268" t="s">
        <v>773</v>
      </c>
      <c r="B268" t="s">
        <v>11</v>
      </c>
      <c r="C268" s="6" t="s">
        <v>774</v>
      </c>
      <c r="D268" s="6"/>
      <c r="E268" s="6"/>
      <c r="F268" s="6" t="s">
        <v>775</v>
      </c>
      <c r="G268" s="6"/>
      <c r="I268" s="5" t="str">
        <f t="shared" si="9"/>
        <v>C1</v>
      </c>
      <c r="J268" t="s">
        <v>6</v>
      </c>
      <c r="K268" t="str">
        <f t="shared" si="8"/>
        <v/>
      </c>
      <c r="M268" s="6"/>
      <c r="N268" s="6"/>
      <c r="O268" s="6"/>
      <c r="P268" s="6"/>
      <c r="Q268" s="6"/>
    </row>
    <row r="269" spans="1:17" x14ac:dyDescent="0.3">
      <c r="A269" t="s">
        <v>773</v>
      </c>
      <c r="B269" s="19" t="s">
        <v>11</v>
      </c>
      <c r="C269" s="20" t="s">
        <v>776</v>
      </c>
      <c r="D269" s="21" t="s">
        <v>648</v>
      </c>
      <c r="E269" s="10">
        <v>10</v>
      </c>
      <c r="F269" s="10" t="s">
        <v>777</v>
      </c>
      <c r="G269" s="24"/>
      <c r="I269" s="5" t="str">
        <f t="shared" si="9"/>
        <v>C1</v>
      </c>
      <c r="J269" t="s">
        <v>123</v>
      </c>
      <c r="K269" t="str">
        <f t="shared" si="8"/>
        <v>30HDC30AF002</v>
      </c>
      <c r="M269" s="20">
        <v>30</v>
      </c>
      <c r="N269" s="20" t="s">
        <v>695</v>
      </c>
      <c r="O269" s="21" t="s">
        <v>37</v>
      </c>
      <c r="P269" s="20" t="s">
        <v>209</v>
      </c>
      <c r="Q269" s="21" t="s">
        <v>233</v>
      </c>
    </row>
    <row r="270" spans="1:17" x14ac:dyDescent="0.3">
      <c r="A270" s="4" t="s">
        <v>778</v>
      </c>
      <c r="B270" s="4" t="s">
        <v>11</v>
      </c>
      <c r="C270" s="3" t="s">
        <v>779</v>
      </c>
      <c r="D270" s="3"/>
      <c r="E270" s="3"/>
      <c r="F270" s="3" t="s">
        <v>780</v>
      </c>
      <c r="G270" s="3"/>
      <c r="I270" s="5" t="str">
        <f t="shared" si="9"/>
        <v>E8</v>
      </c>
      <c r="J270" t="s">
        <v>781</v>
      </c>
      <c r="K270" t="str">
        <f t="shared" si="8"/>
        <v/>
      </c>
      <c r="M270" s="3"/>
      <c r="N270" s="3"/>
      <c r="O270" s="3"/>
      <c r="P270" s="3"/>
      <c r="Q270" s="3"/>
    </row>
    <row r="271" spans="1:17" x14ac:dyDescent="0.3">
      <c r="A271" t="s">
        <v>778</v>
      </c>
      <c r="B271" s="19" t="s">
        <v>11</v>
      </c>
      <c r="C271" s="20" t="s">
        <v>783</v>
      </c>
      <c r="D271" s="21" t="s">
        <v>648</v>
      </c>
      <c r="E271" s="10">
        <v>8</v>
      </c>
      <c r="F271" s="10" t="s">
        <v>784</v>
      </c>
      <c r="G271" s="24"/>
      <c r="I271" s="5" t="str">
        <f t="shared" si="9"/>
        <v>E8</v>
      </c>
      <c r="J271" t="s">
        <v>6</v>
      </c>
      <c r="K271" t="str">
        <f t="shared" si="8"/>
        <v>30HDC35AF001</v>
      </c>
      <c r="M271" s="20">
        <v>30</v>
      </c>
      <c r="N271" s="20" t="s">
        <v>695</v>
      </c>
      <c r="O271" s="21" t="s">
        <v>782</v>
      </c>
      <c r="P271" s="20" t="s">
        <v>209</v>
      </c>
      <c r="Q271" s="21" t="s">
        <v>48</v>
      </c>
    </row>
    <row r="272" spans="1:17" x14ac:dyDescent="0.3">
      <c r="A272" t="s">
        <v>785</v>
      </c>
      <c r="B272" t="s">
        <v>11</v>
      </c>
      <c r="C272" s="6" t="s">
        <v>786</v>
      </c>
      <c r="D272" s="6"/>
      <c r="E272" s="6"/>
      <c r="F272" s="6" t="s">
        <v>500</v>
      </c>
      <c r="G272" s="6"/>
      <c r="I272" s="5" t="str">
        <f t="shared" si="9"/>
        <v>D9</v>
      </c>
      <c r="J272" t="s">
        <v>76</v>
      </c>
      <c r="K272" t="str">
        <f t="shared" si="8"/>
        <v/>
      </c>
      <c r="M272" s="6"/>
      <c r="N272" s="6"/>
      <c r="O272" s="6"/>
      <c r="P272" s="6"/>
      <c r="Q272" s="6"/>
    </row>
    <row r="273" spans="1:17" x14ac:dyDescent="0.3">
      <c r="A273" t="s">
        <v>785</v>
      </c>
      <c r="B273" s="19" t="s">
        <v>11</v>
      </c>
      <c r="C273" s="20" t="s">
        <v>787</v>
      </c>
      <c r="D273" s="21" t="s">
        <v>648</v>
      </c>
      <c r="E273" s="10">
        <v>9</v>
      </c>
      <c r="F273" s="10" t="s">
        <v>502</v>
      </c>
      <c r="G273" s="24"/>
      <c r="I273" s="5" t="str">
        <f t="shared" si="9"/>
        <v>D9</v>
      </c>
      <c r="J273" t="s">
        <v>116</v>
      </c>
      <c r="K273" t="str">
        <f t="shared" si="8"/>
        <v>30HDC35AF002</v>
      </c>
      <c r="M273" s="20">
        <v>30</v>
      </c>
      <c r="N273" s="20" t="s">
        <v>695</v>
      </c>
      <c r="O273" s="21" t="s">
        <v>782</v>
      </c>
      <c r="P273" s="20" t="s">
        <v>209</v>
      </c>
      <c r="Q273" s="21" t="s">
        <v>233</v>
      </c>
    </row>
    <row r="274" spans="1:17" x14ac:dyDescent="0.3">
      <c r="A274" s="4" t="s">
        <v>788</v>
      </c>
      <c r="B274" s="4" t="s">
        <v>11</v>
      </c>
      <c r="C274" s="3" t="s">
        <v>779</v>
      </c>
      <c r="D274" s="3"/>
      <c r="E274" s="3"/>
      <c r="F274" s="3" t="s">
        <v>789</v>
      </c>
      <c r="G274" s="3"/>
      <c r="I274" s="5" t="str">
        <f t="shared" si="9"/>
        <v>D1</v>
      </c>
      <c r="J274" t="s">
        <v>693</v>
      </c>
      <c r="K274" t="str">
        <f t="shared" si="8"/>
        <v/>
      </c>
      <c r="M274" s="3"/>
      <c r="N274" s="3"/>
      <c r="O274" s="3"/>
      <c r="P274" s="3"/>
      <c r="Q274" s="3"/>
    </row>
    <row r="275" spans="1:17" x14ac:dyDescent="0.3">
      <c r="A275" t="s">
        <v>788</v>
      </c>
      <c r="B275" s="19" t="s">
        <v>11</v>
      </c>
      <c r="C275" s="20" t="s">
        <v>790</v>
      </c>
      <c r="D275" s="21" t="s">
        <v>648</v>
      </c>
      <c r="E275" s="10">
        <v>15</v>
      </c>
      <c r="F275" s="10" t="s">
        <v>791</v>
      </c>
      <c r="G275" s="24"/>
      <c r="I275" s="5" t="str">
        <f t="shared" si="9"/>
        <v>D1</v>
      </c>
      <c r="J275" t="s">
        <v>138</v>
      </c>
      <c r="K275" t="str">
        <f t="shared" si="8"/>
        <v>30HDC35AF003</v>
      </c>
      <c r="M275" s="20">
        <v>30</v>
      </c>
      <c r="N275" s="20" t="s">
        <v>695</v>
      </c>
      <c r="O275" s="21" t="s">
        <v>782</v>
      </c>
      <c r="P275" s="20" t="s">
        <v>209</v>
      </c>
      <c r="Q275" s="21" t="s">
        <v>317</v>
      </c>
    </row>
    <row r="276" spans="1:17" x14ac:dyDescent="0.3">
      <c r="A276" t="s">
        <v>792</v>
      </c>
      <c r="B276" t="s">
        <v>11</v>
      </c>
      <c r="C276" s="6" t="s">
        <v>793</v>
      </c>
      <c r="D276" s="6"/>
      <c r="E276" s="6"/>
      <c r="F276" s="6" t="s">
        <v>794</v>
      </c>
      <c r="G276" s="6"/>
      <c r="I276" s="5" t="str">
        <f t="shared" si="9"/>
        <v>B1</v>
      </c>
      <c r="J276" t="s">
        <v>67</v>
      </c>
      <c r="K276" t="str">
        <f t="shared" si="8"/>
        <v/>
      </c>
      <c r="M276" s="6"/>
      <c r="N276" s="6"/>
      <c r="P276" s="6"/>
      <c r="Q276" s="27"/>
    </row>
    <row r="277" spans="1:17" x14ac:dyDescent="0.3">
      <c r="A277" t="s">
        <v>792</v>
      </c>
      <c r="B277" s="19" t="s">
        <v>11</v>
      </c>
      <c r="C277" s="20" t="s">
        <v>795</v>
      </c>
      <c r="D277" s="21" t="s">
        <v>648</v>
      </c>
      <c r="E277" s="10">
        <v>11</v>
      </c>
      <c r="F277" s="10" t="s">
        <v>796</v>
      </c>
      <c r="G277" s="24"/>
      <c r="I277" s="5" t="str">
        <f t="shared" si="9"/>
        <v>B1</v>
      </c>
      <c r="J277" t="s">
        <v>6</v>
      </c>
      <c r="K277" t="str">
        <f t="shared" si="8"/>
        <v>30HDC40AF001</v>
      </c>
      <c r="M277" s="20">
        <v>30</v>
      </c>
      <c r="N277" s="20" t="s">
        <v>695</v>
      </c>
      <c r="O277" s="22" t="s">
        <v>120</v>
      </c>
      <c r="P277" s="20" t="s">
        <v>209</v>
      </c>
      <c r="Q277" s="58" t="s">
        <v>48</v>
      </c>
    </row>
    <row r="278" spans="1:17" x14ac:dyDescent="0.3">
      <c r="A278" s="4" t="s">
        <v>797</v>
      </c>
      <c r="B278" s="4" t="s">
        <v>11</v>
      </c>
      <c r="C278" s="3" t="s">
        <v>798</v>
      </c>
      <c r="D278" s="3"/>
      <c r="E278" s="3"/>
      <c r="F278" s="3" t="s">
        <v>799</v>
      </c>
      <c r="G278" s="3"/>
      <c r="I278" s="5" t="str">
        <f t="shared" si="9"/>
        <v>C1</v>
      </c>
      <c r="J278" t="s">
        <v>116</v>
      </c>
      <c r="K278" t="str">
        <f t="shared" si="8"/>
        <v/>
      </c>
      <c r="M278" s="3"/>
      <c r="N278" s="3"/>
      <c r="O278" s="4"/>
      <c r="P278" s="3"/>
      <c r="Q278" s="25"/>
    </row>
    <row r="279" spans="1:17" x14ac:dyDescent="0.3">
      <c r="A279" t="s">
        <v>797</v>
      </c>
      <c r="B279" s="19" t="s">
        <v>11</v>
      </c>
      <c r="C279" s="20" t="s">
        <v>800</v>
      </c>
      <c r="D279" s="21" t="s">
        <v>648</v>
      </c>
      <c r="E279" s="10">
        <v>11</v>
      </c>
      <c r="F279" s="10" t="s">
        <v>801</v>
      </c>
      <c r="G279" s="24"/>
      <c r="I279" s="5" t="str">
        <f t="shared" si="9"/>
        <v>C1</v>
      </c>
      <c r="J279" t="s">
        <v>300</v>
      </c>
      <c r="K279" t="str">
        <f t="shared" si="8"/>
        <v>30HDC40AF002</v>
      </c>
      <c r="M279" s="20">
        <v>30</v>
      </c>
      <c r="N279" s="20" t="s">
        <v>695</v>
      </c>
      <c r="O279" s="22" t="s">
        <v>120</v>
      </c>
      <c r="P279" s="20" t="s">
        <v>209</v>
      </c>
      <c r="Q279" s="58" t="s">
        <v>233</v>
      </c>
    </row>
    <row r="280" spans="1:17" x14ac:dyDescent="0.3">
      <c r="A280" t="s">
        <v>802</v>
      </c>
      <c r="B280" t="s">
        <v>11</v>
      </c>
      <c r="C280" s="6" t="s">
        <v>803</v>
      </c>
      <c r="D280" s="59"/>
      <c r="E280" s="59"/>
      <c r="F280" s="6" t="s">
        <v>804</v>
      </c>
      <c r="G280" s="59"/>
      <c r="I280" s="5" t="str">
        <f t="shared" si="9"/>
        <v>G1</v>
      </c>
      <c r="J280" t="s">
        <v>105</v>
      </c>
      <c r="K280" t="str">
        <f t="shared" si="8"/>
        <v/>
      </c>
      <c r="M280" s="59"/>
      <c r="N280" s="59"/>
      <c r="P280" s="59"/>
      <c r="Q280" s="60"/>
    </row>
    <row r="281" spans="1:17" x14ac:dyDescent="0.3">
      <c r="A281" t="s">
        <v>802</v>
      </c>
      <c r="B281" s="19" t="s">
        <v>11</v>
      </c>
      <c r="C281" s="20" t="s">
        <v>807</v>
      </c>
      <c r="D281" s="21" t="s">
        <v>648</v>
      </c>
      <c r="E281" s="10">
        <v>12</v>
      </c>
      <c r="F281" s="10" t="s">
        <v>808</v>
      </c>
      <c r="G281" s="24"/>
      <c r="I281" s="5" t="str">
        <f t="shared" si="9"/>
        <v>G1</v>
      </c>
      <c r="J281" t="s">
        <v>129</v>
      </c>
      <c r="K281" t="str">
        <f t="shared" si="8"/>
        <v>30HDC45AF000</v>
      </c>
      <c r="M281" s="20">
        <v>30</v>
      </c>
      <c r="N281" s="20" t="s">
        <v>695</v>
      </c>
      <c r="O281" s="21" t="s">
        <v>805</v>
      </c>
      <c r="P281" s="20" t="s">
        <v>209</v>
      </c>
      <c r="Q281" s="21" t="s">
        <v>806</v>
      </c>
    </row>
    <row r="282" spans="1:17" x14ac:dyDescent="0.3">
      <c r="A282" t="s">
        <v>809</v>
      </c>
      <c r="B282" s="19" t="s">
        <v>11</v>
      </c>
      <c r="C282" s="20" t="s">
        <v>810</v>
      </c>
      <c r="D282" s="21" t="s">
        <v>648</v>
      </c>
      <c r="E282" s="10">
        <v>9</v>
      </c>
      <c r="F282" s="10" t="s">
        <v>497</v>
      </c>
      <c r="G282" s="24"/>
      <c r="I282" s="5" t="str">
        <f t="shared" si="9"/>
        <v>C9</v>
      </c>
      <c r="J282" t="s">
        <v>105</v>
      </c>
      <c r="K282" t="str">
        <f t="shared" si="8"/>
        <v>30HDC45AF002</v>
      </c>
      <c r="M282" s="20">
        <v>30</v>
      </c>
      <c r="N282" s="20" t="s">
        <v>695</v>
      </c>
      <c r="O282" s="21" t="s">
        <v>805</v>
      </c>
      <c r="P282" s="20" t="s">
        <v>209</v>
      </c>
      <c r="Q282" s="21" t="s">
        <v>233</v>
      </c>
    </row>
    <row r="283" spans="1:17" x14ac:dyDescent="0.3">
      <c r="A283" s="4" t="s">
        <v>809</v>
      </c>
      <c r="B283" s="4" t="s">
        <v>11</v>
      </c>
      <c r="C283" s="3" t="s">
        <v>811</v>
      </c>
      <c r="D283" s="3"/>
      <c r="E283" s="3"/>
      <c r="F283" s="3" t="s">
        <v>495</v>
      </c>
      <c r="G283" s="3"/>
      <c r="I283" s="5" t="str">
        <f t="shared" si="9"/>
        <v>C9</v>
      </c>
      <c r="J283" t="s">
        <v>102</v>
      </c>
      <c r="K283" t="str">
        <f t="shared" si="8"/>
        <v/>
      </c>
      <c r="M283" s="3"/>
      <c r="N283" s="3"/>
      <c r="O283" s="3"/>
      <c r="P283" s="3"/>
      <c r="Q283" s="3"/>
    </row>
    <row r="284" spans="1:17" x14ac:dyDescent="0.3">
      <c r="A284" t="s">
        <v>812</v>
      </c>
      <c r="B284" t="s">
        <v>11</v>
      </c>
      <c r="C284" s="6" t="s">
        <v>813</v>
      </c>
      <c r="D284" s="6"/>
      <c r="E284" s="6"/>
      <c r="F284" s="6" t="s">
        <v>814</v>
      </c>
      <c r="G284" s="6"/>
      <c r="I284" s="5" t="str">
        <f t="shared" si="9"/>
        <v>F1</v>
      </c>
      <c r="J284" t="s">
        <v>410</v>
      </c>
      <c r="K284" t="str">
        <f t="shared" si="8"/>
        <v/>
      </c>
      <c r="M284" s="6"/>
      <c r="N284" s="6"/>
      <c r="O284" s="6"/>
      <c r="P284" s="6"/>
      <c r="Q284" s="6"/>
    </row>
    <row r="285" spans="1:17" x14ac:dyDescent="0.3">
      <c r="A285" t="s">
        <v>812</v>
      </c>
      <c r="B285" s="19" t="s">
        <v>11</v>
      </c>
      <c r="C285" s="20" t="s">
        <v>815</v>
      </c>
      <c r="D285" s="21" t="s">
        <v>648</v>
      </c>
      <c r="E285" s="10">
        <v>13</v>
      </c>
      <c r="F285" s="10" t="s">
        <v>816</v>
      </c>
      <c r="G285" s="24"/>
      <c r="I285" s="5" t="str">
        <f t="shared" si="9"/>
        <v>F1</v>
      </c>
      <c r="J285" t="s">
        <v>496</v>
      </c>
      <c r="K285" t="str">
        <f t="shared" si="8"/>
        <v>30HDC45AM001</v>
      </c>
      <c r="M285" s="20">
        <v>30</v>
      </c>
      <c r="N285" s="20" t="s">
        <v>695</v>
      </c>
      <c r="O285" s="21" t="s">
        <v>805</v>
      </c>
      <c r="P285" s="20" t="s">
        <v>394</v>
      </c>
      <c r="Q285" s="21" t="s">
        <v>48</v>
      </c>
    </row>
    <row r="286" spans="1:17" x14ac:dyDescent="0.3">
      <c r="A286" s="4" t="s">
        <v>817</v>
      </c>
      <c r="B286" s="4" t="s">
        <v>11</v>
      </c>
      <c r="C286" s="3" t="s">
        <v>818</v>
      </c>
      <c r="D286" s="3"/>
      <c r="E286" s="3"/>
      <c r="F286" s="3" t="s">
        <v>819</v>
      </c>
      <c r="G286" s="3"/>
      <c r="I286" s="5" t="str">
        <f t="shared" si="9"/>
        <v>B1</v>
      </c>
      <c r="J286" t="s">
        <v>569</v>
      </c>
      <c r="K286" t="str">
        <f t="shared" si="8"/>
        <v/>
      </c>
      <c r="M286" s="3"/>
      <c r="N286" s="3"/>
      <c r="O286" s="3"/>
      <c r="P286" s="3"/>
      <c r="Q286" s="3"/>
    </row>
    <row r="287" spans="1:17" x14ac:dyDescent="0.3">
      <c r="A287" t="s">
        <v>817</v>
      </c>
      <c r="B287" s="19" t="s">
        <v>11</v>
      </c>
      <c r="C287" s="20" t="s">
        <v>820</v>
      </c>
      <c r="D287" s="21" t="s">
        <v>648</v>
      </c>
      <c r="E287" s="10">
        <v>12</v>
      </c>
      <c r="F287" s="10" t="s">
        <v>821</v>
      </c>
      <c r="G287" s="24"/>
      <c r="I287" s="5" t="str">
        <f t="shared" si="9"/>
        <v>B1</v>
      </c>
      <c r="J287" t="s">
        <v>822</v>
      </c>
      <c r="K287" t="str">
        <f t="shared" si="8"/>
        <v>30HDC50AF001</v>
      </c>
      <c r="M287" s="20">
        <v>30</v>
      </c>
      <c r="N287" s="20" t="s">
        <v>695</v>
      </c>
      <c r="O287" s="21" t="s">
        <v>415</v>
      </c>
      <c r="P287" s="20" t="s">
        <v>209</v>
      </c>
      <c r="Q287" s="21" t="s">
        <v>48</v>
      </c>
    </row>
    <row r="288" spans="1:17" x14ac:dyDescent="0.3">
      <c r="A288" t="s">
        <v>823</v>
      </c>
      <c r="B288" t="s">
        <v>11</v>
      </c>
      <c r="C288" s="6" t="s">
        <v>824</v>
      </c>
      <c r="D288" s="6"/>
      <c r="E288" s="6"/>
      <c r="F288" s="6" t="s">
        <v>825</v>
      </c>
      <c r="G288" s="6"/>
      <c r="I288" s="5" t="str">
        <f t="shared" si="9"/>
        <v>C1</v>
      </c>
      <c r="J288" t="s">
        <v>352</v>
      </c>
      <c r="K288" t="str">
        <f t="shared" si="8"/>
        <v/>
      </c>
      <c r="M288" s="6"/>
      <c r="N288" s="6"/>
      <c r="O288" s="6"/>
      <c r="P288" s="6"/>
      <c r="Q288" s="6"/>
    </row>
    <row r="289" spans="1:17" x14ac:dyDescent="0.3">
      <c r="A289" t="s">
        <v>823</v>
      </c>
      <c r="B289" s="19" t="s">
        <v>11</v>
      </c>
      <c r="C289" s="20" t="s">
        <v>826</v>
      </c>
      <c r="D289" s="21" t="s">
        <v>648</v>
      </c>
      <c r="E289" s="10">
        <v>12</v>
      </c>
      <c r="F289" s="10" t="s">
        <v>827</v>
      </c>
      <c r="G289" s="24"/>
      <c r="I289" s="5" t="str">
        <f t="shared" si="9"/>
        <v>C1</v>
      </c>
      <c r="J289" t="s">
        <v>105</v>
      </c>
      <c r="K289" t="str">
        <f t="shared" si="8"/>
        <v>30HDC50AF002</v>
      </c>
      <c r="M289" s="20">
        <v>30</v>
      </c>
      <c r="N289" s="20" t="s">
        <v>695</v>
      </c>
      <c r="O289" s="21" t="s">
        <v>415</v>
      </c>
      <c r="P289" s="20" t="s">
        <v>209</v>
      </c>
      <c r="Q289" s="21" t="s">
        <v>233</v>
      </c>
    </row>
    <row r="290" spans="1:17" x14ac:dyDescent="0.3">
      <c r="A290" t="s">
        <v>828</v>
      </c>
      <c r="B290" s="19" t="s">
        <v>11</v>
      </c>
      <c r="C290" s="20" t="s">
        <v>830</v>
      </c>
      <c r="D290" s="21" t="s">
        <v>648</v>
      </c>
      <c r="E290" s="10">
        <v>12</v>
      </c>
      <c r="F290" s="10" t="s">
        <v>831</v>
      </c>
      <c r="G290" s="24"/>
      <c r="I290" s="5" t="str">
        <f t="shared" si="9"/>
        <v>H1</v>
      </c>
      <c r="J290" t="s">
        <v>584</v>
      </c>
      <c r="K290" t="str">
        <f t="shared" si="8"/>
        <v>30HDC55AF001</v>
      </c>
      <c r="M290" s="20">
        <v>30</v>
      </c>
      <c r="N290" s="20" t="s">
        <v>695</v>
      </c>
      <c r="O290" s="21" t="s">
        <v>829</v>
      </c>
      <c r="P290" s="20" t="s">
        <v>209</v>
      </c>
      <c r="Q290" s="21" t="s">
        <v>48</v>
      </c>
    </row>
    <row r="291" spans="1:17" x14ac:dyDescent="0.3">
      <c r="A291" s="4" t="s">
        <v>828</v>
      </c>
      <c r="B291" s="4" t="s">
        <v>11</v>
      </c>
      <c r="C291" s="3" t="s">
        <v>832</v>
      </c>
      <c r="D291" s="3"/>
      <c r="E291" s="3"/>
      <c r="F291" s="3" t="s">
        <v>833</v>
      </c>
      <c r="G291" s="3"/>
      <c r="I291" s="5" t="str">
        <f t="shared" si="9"/>
        <v>H1</v>
      </c>
      <c r="J291" t="s">
        <v>73</v>
      </c>
      <c r="K291" t="str">
        <f t="shared" si="8"/>
        <v/>
      </c>
      <c r="M291" s="3"/>
      <c r="N291" s="3"/>
      <c r="O291" s="3"/>
      <c r="P291" s="3"/>
      <c r="Q291" s="3"/>
    </row>
    <row r="292" spans="1:17" x14ac:dyDescent="0.3">
      <c r="A292" t="s">
        <v>834</v>
      </c>
      <c r="B292" t="s">
        <v>11</v>
      </c>
      <c r="C292" s="6" t="s">
        <v>835</v>
      </c>
      <c r="D292" s="6"/>
      <c r="E292" s="6"/>
      <c r="F292" s="6" t="s">
        <v>836</v>
      </c>
      <c r="G292" s="6"/>
      <c r="I292" s="5" t="str">
        <f t="shared" si="9"/>
        <v>D1</v>
      </c>
      <c r="J292" t="s">
        <v>62</v>
      </c>
      <c r="K292" t="str">
        <f t="shared" si="8"/>
        <v/>
      </c>
      <c r="M292" s="6"/>
      <c r="N292" s="6"/>
      <c r="O292" s="6"/>
      <c r="P292" s="6"/>
      <c r="Q292" s="6"/>
    </row>
    <row r="293" spans="1:17" x14ac:dyDescent="0.3">
      <c r="A293" t="s">
        <v>834</v>
      </c>
      <c r="B293" s="19" t="s">
        <v>11</v>
      </c>
      <c r="C293" s="20" t="s">
        <v>837</v>
      </c>
      <c r="D293" s="21" t="s">
        <v>648</v>
      </c>
      <c r="E293" s="10">
        <v>13</v>
      </c>
      <c r="F293" s="10" t="s">
        <v>838</v>
      </c>
      <c r="G293" s="24"/>
      <c r="I293" s="5" t="str">
        <f t="shared" si="9"/>
        <v>D1</v>
      </c>
      <c r="J293" t="s">
        <v>6</v>
      </c>
      <c r="K293" t="str">
        <f t="shared" si="8"/>
        <v>30HDC60AF001</v>
      </c>
      <c r="M293" s="20">
        <v>30</v>
      </c>
      <c r="N293" s="20" t="s">
        <v>695</v>
      </c>
      <c r="O293" s="21" t="s">
        <v>546</v>
      </c>
      <c r="P293" s="20" t="s">
        <v>209</v>
      </c>
      <c r="Q293" s="21" t="s">
        <v>48</v>
      </c>
    </row>
    <row r="294" spans="1:17" x14ac:dyDescent="0.3">
      <c r="A294" s="4" t="s">
        <v>839</v>
      </c>
      <c r="B294" s="4" t="s">
        <v>11</v>
      </c>
      <c r="C294" s="3" t="s">
        <v>840</v>
      </c>
      <c r="D294" s="3"/>
      <c r="E294" s="3"/>
      <c r="F294" s="3" t="s">
        <v>841</v>
      </c>
      <c r="G294" s="3"/>
      <c r="I294" s="5" t="str">
        <f t="shared" si="9"/>
        <v>E1</v>
      </c>
      <c r="J294" t="s">
        <v>6</v>
      </c>
      <c r="K294" t="str">
        <f t="shared" si="8"/>
        <v/>
      </c>
      <c r="M294" s="3"/>
      <c r="N294" s="3"/>
      <c r="O294" s="3"/>
      <c r="P294" s="3"/>
      <c r="Q294" s="3"/>
    </row>
    <row r="295" spans="1:17" x14ac:dyDescent="0.3">
      <c r="A295" t="s">
        <v>839</v>
      </c>
      <c r="B295" s="19" t="s">
        <v>11</v>
      </c>
      <c r="C295" s="20" t="s">
        <v>842</v>
      </c>
      <c r="D295" s="21" t="s">
        <v>648</v>
      </c>
      <c r="E295" s="10">
        <v>13</v>
      </c>
      <c r="F295" s="10" t="s">
        <v>843</v>
      </c>
      <c r="G295" s="24"/>
      <c r="I295" s="5" t="str">
        <f t="shared" si="9"/>
        <v>E1</v>
      </c>
      <c r="J295" t="s">
        <v>325</v>
      </c>
      <c r="K295" t="str">
        <f t="shared" si="8"/>
        <v>30HDC60AF002</v>
      </c>
      <c r="M295" s="20">
        <v>30</v>
      </c>
      <c r="N295" s="20" t="s">
        <v>695</v>
      </c>
      <c r="O295" s="21" t="s">
        <v>546</v>
      </c>
      <c r="P295" s="20" t="s">
        <v>209</v>
      </c>
      <c r="Q295" s="21" t="s">
        <v>233</v>
      </c>
    </row>
    <row r="296" spans="1:17" x14ac:dyDescent="0.3">
      <c r="A296" t="s">
        <v>844</v>
      </c>
      <c r="B296" t="s">
        <v>11</v>
      </c>
      <c r="C296" s="6" t="s">
        <v>845</v>
      </c>
      <c r="D296" s="6"/>
      <c r="E296" s="6"/>
      <c r="F296" s="6" t="s">
        <v>846</v>
      </c>
      <c r="G296" s="6"/>
      <c r="I296" s="5" t="str">
        <f t="shared" si="9"/>
        <v>B1</v>
      </c>
      <c r="J296" t="s">
        <v>847</v>
      </c>
      <c r="K296" t="str">
        <f t="shared" si="8"/>
        <v/>
      </c>
      <c r="M296" s="6"/>
      <c r="N296" s="6"/>
      <c r="O296" s="6"/>
      <c r="P296" s="6"/>
      <c r="Q296" s="6"/>
    </row>
    <row r="297" spans="1:17" x14ac:dyDescent="0.3">
      <c r="A297" t="s">
        <v>844</v>
      </c>
      <c r="B297" s="19" t="s">
        <v>11</v>
      </c>
      <c r="C297" s="20" t="s">
        <v>848</v>
      </c>
      <c r="D297" s="21" t="s">
        <v>648</v>
      </c>
      <c r="E297" s="10">
        <v>14</v>
      </c>
      <c r="F297" s="10" t="s">
        <v>849</v>
      </c>
      <c r="G297" s="24"/>
      <c r="I297" s="5" t="str">
        <f t="shared" si="9"/>
        <v>B1</v>
      </c>
      <c r="J297" t="s">
        <v>850</v>
      </c>
      <c r="K297" t="str">
        <f t="shared" si="8"/>
        <v>30HDC40AF001</v>
      </c>
      <c r="M297" s="20">
        <v>30</v>
      </c>
      <c r="N297" s="20" t="s">
        <v>695</v>
      </c>
      <c r="O297" s="21" t="s">
        <v>120</v>
      </c>
      <c r="P297" s="20" t="s">
        <v>209</v>
      </c>
      <c r="Q297" s="21" t="s">
        <v>48</v>
      </c>
    </row>
    <row r="298" spans="1:17" x14ac:dyDescent="0.3">
      <c r="A298" s="4" t="s">
        <v>851</v>
      </c>
      <c r="B298" s="4" t="s">
        <v>11</v>
      </c>
      <c r="C298" s="3" t="s">
        <v>852</v>
      </c>
      <c r="D298" s="3"/>
      <c r="E298" s="3"/>
      <c r="F298" s="3" t="s">
        <v>853</v>
      </c>
      <c r="G298" s="3"/>
      <c r="I298" s="5" t="str">
        <f t="shared" si="9"/>
        <v>C1</v>
      </c>
      <c r="J298" t="s">
        <v>291</v>
      </c>
      <c r="K298" t="str">
        <f t="shared" si="8"/>
        <v/>
      </c>
      <c r="M298" s="3"/>
      <c r="N298" s="3"/>
      <c r="O298" s="3"/>
      <c r="P298" s="3"/>
      <c r="Q298" s="3"/>
    </row>
    <row r="299" spans="1:17" x14ac:dyDescent="0.3">
      <c r="A299" t="s">
        <v>851</v>
      </c>
      <c r="B299" s="19" t="s">
        <v>11</v>
      </c>
      <c r="C299" s="20" t="s">
        <v>855</v>
      </c>
      <c r="D299" s="21" t="s">
        <v>648</v>
      </c>
      <c r="E299" s="10">
        <v>14</v>
      </c>
      <c r="F299" s="10" t="s">
        <v>856</v>
      </c>
      <c r="G299" s="24"/>
      <c r="I299" s="5" t="str">
        <f t="shared" si="9"/>
        <v>C1</v>
      </c>
      <c r="J299" t="s">
        <v>721</v>
      </c>
      <c r="K299" t="str">
        <f t="shared" si="8"/>
        <v>30HDC70AF002</v>
      </c>
      <c r="M299" s="20">
        <v>30</v>
      </c>
      <c r="N299" s="20" t="s">
        <v>695</v>
      </c>
      <c r="O299" s="21" t="s">
        <v>854</v>
      </c>
      <c r="P299" s="20" t="s">
        <v>209</v>
      </c>
      <c r="Q299" s="21" t="s">
        <v>233</v>
      </c>
    </row>
    <row r="300" spans="1:17" x14ac:dyDescent="0.3">
      <c r="A300" t="s">
        <v>857</v>
      </c>
      <c r="B300" t="s">
        <v>11</v>
      </c>
      <c r="C300" s="6" t="s">
        <v>858</v>
      </c>
      <c r="D300" s="6"/>
      <c r="E300" s="6"/>
      <c r="F300" s="6" t="s">
        <v>859</v>
      </c>
      <c r="G300" s="6"/>
      <c r="I300" s="5" t="str">
        <f t="shared" si="9"/>
        <v>D1</v>
      </c>
      <c r="J300" t="s">
        <v>503</v>
      </c>
      <c r="K300" t="str">
        <f t="shared" si="8"/>
        <v/>
      </c>
      <c r="M300" s="6"/>
      <c r="N300" s="6"/>
      <c r="O300" s="6"/>
      <c r="P300" s="6"/>
      <c r="Q300" s="6"/>
    </row>
    <row r="301" spans="1:17" x14ac:dyDescent="0.3">
      <c r="A301" t="s">
        <v>857</v>
      </c>
      <c r="B301" s="19" t="s">
        <v>11</v>
      </c>
      <c r="C301" s="20" t="s">
        <v>861</v>
      </c>
      <c r="D301" s="21" t="s">
        <v>648</v>
      </c>
      <c r="E301" s="10">
        <v>14</v>
      </c>
      <c r="F301" s="10" t="s">
        <v>862</v>
      </c>
      <c r="G301" s="24"/>
      <c r="I301" s="5" t="str">
        <f t="shared" si="9"/>
        <v>D1</v>
      </c>
      <c r="J301" t="s">
        <v>707</v>
      </c>
      <c r="K301" t="str">
        <f t="shared" si="8"/>
        <v>30HDC80AF001</v>
      </c>
      <c r="M301" s="20">
        <v>30</v>
      </c>
      <c r="N301" s="20" t="s">
        <v>695</v>
      </c>
      <c r="O301" s="21" t="s">
        <v>860</v>
      </c>
      <c r="P301" s="20" t="s">
        <v>209</v>
      </c>
      <c r="Q301" s="21" t="s">
        <v>48</v>
      </c>
    </row>
    <row r="302" spans="1:17" x14ac:dyDescent="0.3">
      <c r="A302" s="4" t="s">
        <v>863</v>
      </c>
      <c r="B302" s="4" t="s">
        <v>11</v>
      </c>
      <c r="C302" s="3" t="s">
        <v>864</v>
      </c>
      <c r="D302" s="3"/>
      <c r="E302" s="3"/>
      <c r="F302" s="3" t="s">
        <v>865</v>
      </c>
      <c r="G302" s="3"/>
      <c r="I302" s="5" t="str">
        <f t="shared" si="9"/>
        <v>E1</v>
      </c>
      <c r="J302" t="s">
        <v>93</v>
      </c>
      <c r="K302" t="str">
        <f t="shared" si="8"/>
        <v/>
      </c>
      <c r="M302" s="3"/>
      <c r="N302" s="3"/>
      <c r="O302" s="3"/>
      <c r="P302" s="3"/>
      <c r="Q302" s="3"/>
    </row>
    <row r="303" spans="1:17" x14ac:dyDescent="0.3">
      <c r="A303" t="s">
        <v>863</v>
      </c>
      <c r="B303" s="19" t="s">
        <v>11</v>
      </c>
      <c r="C303" s="20" t="s">
        <v>866</v>
      </c>
      <c r="D303" s="21" t="s">
        <v>648</v>
      </c>
      <c r="E303" s="10">
        <v>14</v>
      </c>
      <c r="F303" s="10" t="s">
        <v>867</v>
      </c>
      <c r="G303" s="24"/>
      <c r="I303" s="5" t="str">
        <f t="shared" si="9"/>
        <v>E1</v>
      </c>
      <c r="J303" t="s">
        <v>6</v>
      </c>
      <c r="K303" t="str">
        <f t="shared" si="8"/>
        <v>30HDC80AF002</v>
      </c>
      <c r="M303" s="20">
        <v>30</v>
      </c>
      <c r="N303" s="20" t="s">
        <v>695</v>
      </c>
      <c r="O303" s="21" t="s">
        <v>860</v>
      </c>
      <c r="P303" s="20" t="s">
        <v>209</v>
      </c>
      <c r="Q303" s="21" t="s">
        <v>233</v>
      </c>
    </row>
    <row r="304" spans="1:17" x14ac:dyDescent="0.3">
      <c r="A304" t="s">
        <v>868</v>
      </c>
      <c r="B304" t="s">
        <v>11</v>
      </c>
      <c r="C304" s="6" t="s">
        <v>869</v>
      </c>
      <c r="D304" s="6"/>
      <c r="E304" s="6"/>
      <c r="F304" s="6" t="s">
        <v>870</v>
      </c>
      <c r="G304" s="6"/>
      <c r="I304" s="5" t="str">
        <f t="shared" si="9"/>
        <v>B1</v>
      </c>
      <c r="J304" t="s">
        <v>6</v>
      </c>
      <c r="K304" t="str">
        <f t="shared" si="8"/>
        <v/>
      </c>
      <c r="M304" s="6"/>
      <c r="N304" s="6"/>
      <c r="O304" s="6"/>
      <c r="P304" s="6"/>
      <c r="Q304" s="6"/>
    </row>
    <row r="305" spans="1:17" x14ac:dyDescent="0.3">
      <c r="A305" t="s">
        <v>868</v>
      </c>
      <c r="B305" s="19" t="s">
        <v>11</v>
      </c>
      <c r="C305" s="20" t="s">
        <v>872</v>
      </c>
      <c r="D305" s="21" t="s">
        <v>648</v>
      </c>
      <c r="E305" s="10">
        <v>15</v>
      </c>
      <c r="F305" s="10" t="s">
        <v>873</v>
      </c>
      <c r="G305" s="24"/>
      <c r="I305" s="5" t="str">
        <f t="shared" si="9"/>
        <v>B1</v>
      </c>
      <c r="J305" t="s">
        <v>709</v>
      </c>
      <c r="K305" t="str">
        <f t="shared" si="8"/>
        <v>30HDC90AF001</v>
      </c>
      <c r="M305" s="20">
        <v>30</v>
      </c>
      <c r="N305" s="20" t="s">
        <v>695</v>
      </c>
      <c r="O305" s="21" t="s">
        <v>871</v>
      </c>
      <c r="P305" s="20" t="s">
        <v>209</v>
      </c>
      <c r="Q305" s="21" t="s">
        <v>48</v>
      </c>
    </row>
    <row r="306" spans="1:17" x14ac:dyDescent="0.3">
      <c r="A306" s="4" t="s">
        <v>874</v>
      </c>
      <c r="B306" s="4" t="s">
        <v>11</v>
      </c>
      <c r="C306" s="3" t="s">
        <v>875</v>
      </c>
      <c r="D306" s="3"/>
      <c r="E306" s="3"/>
      <c r="F306" s="3" t="s">
        <v>876</v>
      </c>
      <c r="G306" s="3"/>
      <c r="I306" s="5" t="str">
        <f t="shared" si="9"/>
        <v>C1</v>
      </c>
      <c r="J306" t="s">
        <v>302</v>
      </c>
      <c r="K306" t="str">
        <f t="shared" si="8"/>
        <v/>
      </c>
      <c r="M306" s="3"/>
      <c r="N306" s="3"/>
      <c r="O306" s="3"/>
      <c r="P306" s="3"/>
      <c r="Q306" s="3"/>
    </row>
    <row r="307" spans="1:17" x14ac:dyDescent="0.3">
      <c r="A307" t="s">
        <v>874</v>
      </c>
      <c r="B307" s="19" t="s">
        <v>11</v>
      </c>
      <c r="C307" s="20" t="s">
        <v>877</v>
      </c>
      <c r="D307" s="21" t="s">
        <v>648</v>
      </c>
      <c r="E307" s="10">
        <v>15</v>
      </c>
      <c r="F307" s="10" t="s">
        <v>878</v>
      </c>
      <c r="G307" s="24"/>
      <c r="I307" s="5" t="str">
        <f t="shared" si="9"/>
        <v>C1</v>
      </c>
      <c r="J307" t="s">
        <v>879</v>
      </c>
      <c r="K307" t="str">
        <f t="shared" si="8"/>
        <v>30HDC90AF002</v>
      </c>
      <c r="M307" s="20">
        <v>30</v>
      </c>
      <c r="N307" s="20" t="s">
        <v>695</v>
      </c>
      <c r="O307" s="21" t="s">
        <v>871</v>
      </c>
      <c r="P307" s="20" t="s">
        <v>209</v>
      </c>
      <c r="Q307" s="21" t="s">
        <v>233</v>
      </c>
    </row>
    <row r="308" spans="1:17" x14ac:dyDescent="0.3">
      <c r="A308" t="s">
        <v>880</v>
      </c>
      <c r="B308" t="s">
        <v>205</v>
      </c>
      <c r="C308" s="6" t="s">
        <v>881</v>
      </c>
      <c r="D308" s="6"/>
      <c r="E308" s="6"/>
      <c r="F308" s="6" t="s">
        <v>882</v>
      </c>
      <c r="G308" s="6"/>
      <c r="I308" s="5" t="str">
        <f t="shared" si="9"/>
        <v>G3</v>
      </c>
      <c r="J308" t="s">
        <v>528</v>
      </c>
      <c r="K308" t="str">
        <f t="shared" si="8"/>
        <v/>
      </c>
      <c r="M308" s="6"/>
      <c r="N308" s="6"/>
      <c r="O308" s="6"/>
      <c r="P308" s="6"/>
      <c r="Q308" s="6"/>
    </row>
    <row r="309" spans="1:17" x14ac:dyDescent="0.3">
      <c r="A309" t="s">
        <v>880</v>
      </c>
      <c r="B309" s="32" t="s">
        <v>205</v>
      </c>
      <c r="C309" s="30" t="s">
        <v>883</v>
      </c>
      <c r="D309" s="31" t="s">
        <v>211</v>
      </c>
      <c r="E309" s="33">
        <v>3</v>
      </c>
      <c r="F309" s="34" t="s">
        <v>884</v>
      </c>
      <c r="G309" s="35"/>
      <c r="I309" s="5" t="str">
        <f t="shared" si="9"/>
        <v>G3</v>
      </c>
      <c r="J309" t="s">
        <v>6</v>
      </c>
      <c r="K309" t="str">
        <f t="shared" si="8"/>
        <v/>
      </c>
      <c r="M309" s="30"/>
      <c r="N309" s="30"/>
      <c r="O309" s="31"/>
      <c r="P309" s="30"/>
      <c r="Q309" s="31"/>
    </row>
    <row r="310" spans="1:17" x14ac:dyDescent="0.3">
      <c r="A310" t="s">
        <v>880</v>
      </c>
      <c r="B310" s="32" t="s">
        <v>205</v>
      </c>
      <c r="C310" s="30" t="s">
        <v>886</v>
      </c>
      <c r="D310" s="31" t="s">
        <v>887</v>
      </c>
      <c r="E310" s="33">
        <v>3</v>
      </c>
      <c r="F310" s="34" t="s">
        <v>28</v>
      </c>
      <c r="G310" s="35"/>
      <c r="I310" s="5" t="str">
        <f t="shared" si="9"/>
        <v>B3</v>
      </c>
      <c r="J310" t="s">
        <v>6</v>
      </c>
      <c r="K310" t="str">
        <f t="shared" si="8"/>
        <v>30HDD10AF010</v>
      </c>
      <c r="M310" s="30">
        <v>30</v>
      </c>
      <c r="N310" s="30" t="s">
        <v>885</v>
      </c>
      <c r="O310" s="31" t="s">
        <v>46</v>
      </c>
      <c r="P310" s="30" t="s">
        <v>209</v>
      </c>
      <c r="Q310" s="31" t="s">
        <v>82</v>
      </c>
    </row>
    <row r="311" spans="1:17" x14ac:dyDescent="0.3">
      <c r="A311" s="4" t="s">
        <v>888</v>
      </c>
      <c r="B311" s="4" t="s">
        <v>205</v>
      </c>
      <c r="C311" s="3" t="s">
        <v>889</v>
      </c>
      <c r="D311" s="3"/>
      <c r="E311" s="3"/>
      <c r="F311" s="3" t="s">
        <v>890</v>
      </c>
      <c r="G311" s="3"/>
      <c r="I311" s="5" t="str">
        <f t="shared" si="9"/>
        <v>F4</v>
      </c>
      <c r="J311" t="s">
        <v>89</v>
      </c>
      <c r="K311" t="str">
        <f t="shared" si="8"/>
        <v/>
      </c>
      <c r="M311" s="3"/>
      <c r="N311" s="3"/>
      <c r="O311" s="3"/>
      <c r="P311" s="3"/>
      <c r="Q311" s="3"/>
    </row>
    <row r="312" spans="1:17" x14ac:dyDescent="0.3">
      <c r="A312" t="s">
        <v>888</v>
      </c>
      <c r="B312" s="32" t="s">
        <v>205</v>
      </c>
      <c r="C312" s="30" t="s">
        <v>891</v>
      </c>
      <c r="D312" s="31" t="s">
        <v>887</v>
      </c>
      <c r="E312" s="33">
        <v>4</v>
      </c>
      <c r="F312" s="34" t="s">
        <v>892</v>
      </c>
      <c r="G312" s="35"/>
      <c r="I312" s="5" t="str">
        <f t="shared" si="9"/>
        <v>G4</v>
      </c>
      <c r="J312" t="s">
        <v>624</v>
      </c>
      <c r="K312" t="str">
        <f t="shared" si="8"/>
        <v>30HDD10AF011</v>
      </c>
      <c r="M312" s="30">
        <v>30</v>
      </c>
      <c r="N312" s="30" t="s">
        <v>885</v>
      </c>
      <c r="O312" s="31" t="s">
        <v>46</v>
      </c>
      <c r="P312" s="30" t="s">
        <v>209</v>
      </c>
      <c r="Q312" s="31" t="s">
        <v>214</v>
      </c>
    </row>
    <row r="313" spans="1:17" x14ac:dyDescent="0.3">
      <c r="A313" t="s">
        <v>893</v>
      </c>
      <c r="B313" t="s">
        <v>205</v>
      </c>
      <c r="C313" s="6" t="s">
        <v>894</v>
      </c>
      <c r="D313" s="6"/>
      <c r="E313" s="6"/>
      <c r="F313" s="6" t="s">
        <v>895</v>
      </c>
      <c r="G313" s="6"/>
      <c r="I313" s="5" t="str">
        <f t="shared" si="9"/>
        <v>D2</v>
      </c>
      <c r="J313" t="s">
        <v>531</v>
      </c>
      <c r="K313" t="str">
        <f t="shared" si="8"/>
        <v/>
      </c>
      <c r="M313" s="6"/>
      <c r="N313" s="6"/>
      <c r="O313" s="6"/>
      <c r="P313" s="6"/>
      <c r="Q313" s="6"/>
    </row>
    <row r="314" spans="1:17" x14ac:dyDescent="0.3">
      <c r="A314" t="s">
        <v>893</v>
      </c>
      <c r="B314" s="32" t="s">
        <v>205</v>
      </c>
      <c r="C314" s="30" t="s">
        <v>896</v>
      </c>
      <c r="D314" s="31" t="s">
        <v>887</v>
      </c>
      <c r="E314" s="33">
        <v>2</v>
      </c>
      <c r="F314" s="34" t="s">
        <v>22</v>
      </c>
      <c r="G314" s="35"/>
      <c r="I314" s="5" t="str">
        <f t="shared" si="9"/>
        <v>D2</v>
      </c>
      <c r="J314" t="s">
        <v>678</v>
      </c>
      <c r="K314" t="str">
        <f t="shared" si="8"/>
        <v>30HDD10AF015</v>
      </c>
      <c r="M314" s="30">
        <v>30</v>
      </c>
      <c r="N314" s="30" t="s">
        <v>885</v>
      </c>
      <c r="O314" s="31" t="s">
        <v>46</v>
      </c>
      <c r="P314" s="30" t="s">
        <v>209</v>
      </c>
      <c r="Q314" s="31" t="s">
        <v>597</v>
      </c>
    </row>
    <row r="315" spans="1:17" x14ac:dyDescent="0.3">
      <c r="A315" s="4" t="s">
        <v>897</v>
      </c>
      <c r="B315" s="4" t="s">
        <v>205</v>
      </c>
      <c r="C315" s="3" t="s">
        <v>898</v>
      </c>
      <c r="D315" s="3"/>
      <c r="E315" s="3"/>
      <c r="F315" s="3" t="s">
        <v>899</v>
      </c>
      <c r="G315" s="3"/>
      <c r="I315" s="5" t="str">
        <f t="shared" si="9"/>
        <v>C5</v>
      </c>
      <c r="J315" t="s">
        <v>532</v>
      </c>
      <c r="K315" t="str">
        <f t="shared" si="8"/>
        <v/>
      </c>
      <c r="M315" s="3"/>
      <c r="N315" s="3"/>
      <c r="O315" s="3"/>
      <c r="P315" s="3"/>
      <c r="Q315" s="3"/>
    </row>
    <row r="316" spans="1:17" x14ac:dyDescent="0.3">
      <c r="A316" t="s">
        <v>897</v>
      </c>
      <c r="B316" s="32" t="s">
        <v>205</v>
      </c>
      <c r="C316" s="30" t="s">
        <v>900</v>
      </c>
      <c r="D316" s="31" t="s">
        <v>887</v>
      </c>
      <c r="E316" s="62">
        <v>5</v>
      </c>
      <c r="F316" s="34" t="s">
        <v>901</v>
      </c>
      <c r="G316" s="63"/>
      <c r="I316" s="5" t="str">
        <f t="shared" si="9"/>
        <v>C5</v>
      </c>
      <c r="J316" t="s">
        <v>6</v>
      </c>
      <c r="K316" t="str">
        <f t="shared" si="8"/>
        <v>30HDD10AF016</v>
      </c>
      <c r="M316" s="61">
        <v>30</v>
      </c>
      <c r="N316" s="30" t="s">
        <v>885</v>
      </c>
      <c r="O316" s="31" t="s">
        <v>46</v>
      </c>
      <c r="P316" s="30" t="s">
        <v>209</v>
      </c>
      <c r="Q316" s="31" t="s">
        <v>601</v>
      </c>
    </row>
    <row r="317" spans="1:17" x14ac:dyDescent="0.3">
      <c r="A317" t="s">
        <v>902</v>
      </c>
      <c r="B317" t="s">
        <v>205</v>
      </c>
      <c r="C317" s="6" t="s">
        <v>903</v>
      </c>
      <c r="D317" s="6"/>
      <c r="E317" s="6"/>
      <c r="F317" s="6" t="s">
        <v>340</v>
      </c>
      <c r="G317" s="6"/>
      <c r="I317" s="5" t="str">
        <f t="shared" si="9"/>
        <v>E2</v>
      </c>
      <c r="J317" t="s">
        <v>6</v>
      </c>
      <c r="K317" t="str">
        <f t="shared" si="8"/>
        <v/>
      </c>
      <c r="M317" s="6"/>
      <c r="N317" s="6"/>
      <c r="O317" s="6"/>
      <c r="P317" s="6"/>
      <c r="Q317" s="6"/>
    </row>
    <row r="318" spans="1:17" x14ac:dyDescent="0.3">
      <c r="A318" t="s">
        <v>902</v>
      </c>
      <c r="B318" s="32" t="s">
        <v>205</v>
      </c>
      <c r="C318" s="30" t="s">
        <v>904</v>
      </c>
      <c r="D318" s="31" t="s">
        <v>887</v>
      </c>
      <c r="E318" s="33">
        <v>2</v>
      </c>
      <c r="F318" s="34" t="s">
        <v>339</v>
      </c>
      <c r="G318" s="35"/>
      <c r="I318" s="5" t="str">
        <f t="shared" si="9"/>
        <v>E2</v>
      </c>
      <c r="J318" t="s">
        <v>291</v>
      </c>
      <c r="K318" t="str">
        <f t="shared" si="8"/>
        <v>30HDD10AF017</v>
      </c>
      <c r="M318" s="30">
        <v>30</v>
      </c>
      <c r="N318" s="30" t="s">
        <v>885</v>
      </c>
      <c r="O318" s="31" t="s">
        <v>46</v>
      </c>
      <c r="P318" s="30" t="s">
        <v>209</v>
      </c>
      <c r="Q318" s="31" t="s">
        <v>605</v>
      </c>
    </row>
    <row r="319" spans="1:17" x14ac:dyDescent="0.3">
      <c r="A319" s="4" t="s">
        <v>905</v>
      </c>
      <c r="B319" s="4" t="s">
        <v>205</v>
      </c>
      <c r="C319" s="3" t="s">
        <v>906</v>
      </c>
      <c r="D319" s="3"/>
      <c r="E319" s="3"/>
      <c r="F319" s="3" t="s">
        <v>907</v>
      </c>
      <c r="G319" s="3"/>
      <c r="I319" s="5" t="str">
        <f t="shared" si="9"/>
        <v>B6</v>
      </c>
      <c r="J319" t="s">
        <v>291</v>
      </c>
      <c r="K319" t="str">
        <f t="shared" si="8"/>
        <v/>
      </c>
      <c r="M319" s="3"/>
      <c r="N319" s="3"/>
      <c r="O319" s="3"/>
      <c r="P319" s="3"/>
      <c r="Q319" s="3"/>
    </row>
    <row r="320" spans="1:17" x14ac:dyDescent="0.3">
      <c r="A320" t="s">
        <v>905</v>
      </c>
      <c r="B320" s="32" t="s">
        <v>205</v>
      </c>
      <c r="C320" s="30" t="s">
        <v>908</v>
      </c>
      <c r="D320" s="31" t="s">
        <v>887</v>
      </c>
      <c r="E320" s="33">
        <v>6</v>
      </c>
      <c r="F320" s="34" t="s">
        <v>909</v>
      </c>
      <c r="G320" s="35"/>
      <c r="I320" s="5" t="str">
        <f t="shared" si="9"/>
        <v>B6</v>
      </c>
      <c r="J320" t="s">
        <v>6</v>
      </c>
      <c r="K320" t="str">
        <f t="shared" si="8"/>
        <v>30HDD10AF018</v>
      </c>
      <c r="M320" s="30">
        <v>30</v>
      </c>
      <c r="N320" s="30" t="s">
        <v>885</v>
      </c>
      <c r="O320" s="31" t="s">
        <v>46</v>
      </c>
      <c r="P320" s="30" t="s">
        <v>209</v>
      </c>
      <c r="Q320" s="31" t="s">
        <v>608</v>
      </c>
    </row>
    <row r="321" spans="1:17" x14ac:dyDescent="0.3">
      <c r="A321" t="s">
        <v>910</v>
      </c>
      <c r="B321" s="32" t="s">
        <v>205</v>
      </c>
      <c r="C321" s="30" t="s">
        <v>911</v>
      </c>
      <c r="D321" s="31" t="s">
        <v>887</v>
      </c>
      <c r="E321" s="33">
        <v>2</v>
      </c>
      <c r="F321" s="34" t="s">
        <v>36</v>
      </c>
      <c r="G321" s="35"/>
      <c r="I321" s="5" t="str">
        <f t="shared" si="9"/>
        <v>C2</v>
      </c>
      <c r="J321" t="s">
        <v>138</v>
      </c>
      <c r="K321" t="str">
        <f t="shared" si="8"/>
        <v>30HDD10GH010</v>
      </c>
      <c r="M321" s="30">
        <v>30</v>
      </c>
      <c r="N321" s="30" t="s">
        <v>885</v>
      </c>
      <c r="O321" s="31" t="s">
        <v>46</v>
      </c>
      <c r="P321" s="30" t="s">
        <v>190</v>
      </c>
      <c r="Q321" s="31" t="s">
        <v>82</v>
      </c>
    </row>
    <row r="322" spans="1:17" x14ac:dyDescent="0.3">
      <c r="A322" t="s">
        <v>912</v>
      </c>
      <c r="B322" s="38" t="s">
        <v>8</v>
      </c>
      <c r="C322" s="36" t="s">
        <v>913</v>
      </c>
      <c r="D322" s="37" t="s">
        <v>914</v>
      </c>
      <c r="E322" s="10">
        <v>6</v>
      </c>
      <c r="F322" s="39" t="s">
        <v>915</v>
      </c>
      <c r="G322" s="40"/>
      <c r="I322" s="5" t="str">
        <f t="shared" si="9"/>
        <v>F6</v>
      </c>
      <c r="J322" t="s">
        <v>116</v>
      </c>
      <c r="K322" t="str">
        <f t="shared" ref="K322:K364" si="10">M322 &amp; N322 &amp; O322 &amp; P322 &amp; Q322</f>
        <v>30HDD20AF010</v>
      </c>
      <c r="M322" s="36">
        <v>30</v>
      </c>
      <c r="N322" s="36" t="s">
        <v>885</v>
      </c>
      <c r="O322" s="37" t="s">
        <v>64</v>
      </c>
      <c r="P322" s="36" t="s">
        <v>209</v>
      </c>
      <c r="Q322" s="37" t="s">
        <v>82</v>
      </c>
    </row>
    <row r="323" spans="1:17" x14ac:dyDescent="0.3">
      <c r="A323" t="s">
        <v>912</v>
      </c>
      <c r="B323" t="s">
        <v>8</v>
      </c>
      <c r="C323" s="6" t="s">
        <v>916</v>
      </c>
      <c r="D323" s="6"/>
      <c r="E323" s="6"/>
      <c r="F323" s="6" t="s">
        <v>917</v>
      </c>
      <c r="G323" s="6"/>
      <c r="I323" s="5" t="str">
        <f t="shared" si="9"/>
        <v>F6</v>
      </c>
      <c r="J323" t="s">
        <v>713</v>
      </c>
      <c r="K323" t="str">
        <f t="shared" si="10"/>
        <v/>
      </c>
      <c r="M323" s="6"/>
      <c r="N323" s="6"/>
      <c r="O323" s="6"/>
      <c r="P323" s="6"/>
      <c r="Q323" s="6"/>
    </row>
    <row r="324" spans="1:17" x14ac:dyDescent="0.3">
      <c r="A324" t="s">
        <v>918</v>
      </c>
      <c r="B324" s="38" t="s">
        <v>8</v>
      </c>
      <c r="C324" s="36" t="s">
        <v>919</v>
      </c>
      <c r="D324" s="37" t="s">
        <v>914</v>
      </c>
      <c r="E324" s="10">
        <v>7</v>
      </c>
      <c r="F324" s="39" t="s">
        <v>365</v>
      </c>
      <c r="G324" s="40"/>
      <c r="I324" s="5" t="str">
        <f t="shared" si="9"/>
        <v>G7</v>
      </c>
      <c r="J324" t="s">
        <v>566</v>
      </c>
      <c r="K324" t="str">
        <f t="shared" si="10"/>
        <v>30HDD20AF011</v>
      </c>
      <c r="M324" s="36">
        <v>30</v>
      </c>
      <c r="N324" s="36" t="s">
        <v>885</v>
      </c>
      <c r="O324" s="37" t="s">
        <v>64</v>
      </c>
      <c r="P324" s="36" t="s">
        <v>209</v>
      </c>
      <c r="Q324" s="37" t="s">
        <v>214</v>
      </c>
    </row>
    <row r="325" spans="1:17" x14ac:dyDescent="0.3">
      <c r="A325" s="4" t="s">
        <v>918</v>
      </c>
      <c r="B325" s="4" t="s">
        <v>8</v>
      </c>
      <c r="C325" s="3" t="s">
        <v>920</v>
      </c>
      <c r="D325" s="3"/>
      <c r="E325" s="3"/>
      <c r="F325" s="3" t="s">
        <v>366</v>
      </c>
      <c r="G325" s="3"/>
      <c r="I325" s="5" t="str">
        <f t="shared" si="9"/>
        <v>G7</v>
      </c>
      <c r="J325" t="s">
        <v>300</v>
      </c>
      <c r="K325" t="str">
        <f t="shared" si="10"/>
        <v/>
      </c>
      <c r="M325" s="3"/>
      <c r="N325" s="3"/>
      <c r="O325" s="3"/>
      <c r="P325" s="3"/>
      <c r="Q325" s="3"/>
    </row>
    <row r="326" spans="1:17" x14ac:dyDescent="0.3">
      <c r="A326" t="s">
        <v>921</v>
      </c>
      <c r="B326" t="s">
        <v>8</v>
      </c>
      <c r="C326" s="6" t="s">
        <v>922</v>
      </c>
      <c r="D326" s="6"/>
      <c r="E326" s="6"/>
      <c r="F326" s="6" t="s">
        <v>500</v>
      </c>
      <c r="G326" s="6"/>
      <c r="I326" s="5" t="str">
        <f t="shared" ref="I326:I361" si="11">RIGHT(F326,1) &amp; LEFT(F326,1)</f>
        <v>D9</v>
      </c>
      <c r="J326" t="s">
        <v>923</v>
      </c>
      <c r="K326" t="str">
        <f t="shared" si="10"/>
        <v/>
      </c>
      <c r="M326" s="6"/>
      <c r="N326" s="6"/>
      <c r="O326" s="6"/>
      <c r="P326" s="6"/>
      <c r="Q326" s="6"/>
    </row>
    <row r="327" spans="1:17" x14ac:dyDescent="0.3">
      <c r="A327" t="s">
        <v>921</v>
      </c>
      <c r="B327" s="38" t="s">
        <v>8</v>
      </c>
      <c r="C327" s="36" t="s">
        <v>896</v>
      </c>
      <c r="D327" s="37" t="s">
        <v>914</v>
      </c>
      <c r="E327" s="10">
        <v>9</v>
      </c>
      <c r="F327" s="39" t="s">
        <v>502</v>
      </c>
      <c r="G327" s="40"/>
      <c r="I327" s="5" t="str">
        <f t="shared" si="11"/>
        <v>D9</v>
      </c>
      <c r="J327" t="s">
        <v>116</v>
      </c>
      <c r="K327" t="str">
        <f t="shared" si="10"/>
        <v>30HDD20AF015</v>
      </c>
      <c r="M327" s="36">
        <v>30</v>
      </c>
      <c r="N327" s="36" t="s">
        <v>885</v>
      </c>
      <c r="O327" s="37" t="s">
        <v>64</v>
      </c>
      <c r="P327" s="36" t="s">
        <v>209</v>
      </c>
      <c r="Q327" s="37" t="s">
        <v>597</v>
      </c>
    </row>
    <row r="328" spans="1:17" x14ac:dyDescent="0.3">
      <c r="A328" s="4" t="s">
        <v>924</v>
      </c>
      <c r="B328" s="4" t="s">
        <v>8</v>
      </c>
      <c r="C328" s="3" t="s">
        <v>925</v>
      </c>
      <c r="D328" s="3"/>
      <c r="E328" s="3"/>
      <c r="F328" s="3" t="s">
        <v>926</v>
      </c>
      <c r="G328" s="3"/>
      <c r="I328" s="5" t="str">
        <f t="shared" si="11"/>
        <v>E1</v>
      </c>
      <c r="J328" t="s">
        <v>138</v>
      </c>
      <c r="K328" t="str">
        <f t="shared" si="10"/>
        <v/>
      </c>
      <c r="M328" s="3"/>
      <c r="N328" s="3"/>
      <c r="O328" s="3"/>
      <c r="P328" s="3"/>
      <c r="Q328" s="3"/>
    </row>
    <row r="329" spans="1:17" x14ac:dyDescent="0.3">
      <c r="A329" t="s">
        <v>924</v>
      </c>
      <c r="B329" s="38" t="s">
        <v>8</v>
      </c>
      <c r="C329" s="36" t="s">
        <v>927</v>
      </c>
      <c r="D329" s="37" t="s">
        <v>914</v>
      </c>
      <c r="E329" s="41">
        <v>11</v>
      </c>
      <c r="F329" s="42" t="s">
        <v>928</v>
      </c>
      <c r="G329" s="40"/>
      <c r="I329" s="5" t="str">
        <f t="shared" si="11"/>
        <v>E1</v>
      </c>
      <c r="J329" t="s">
        <v>109</v>
      </c>
      <c r="K329" t="str">
        <f t="shared" si="10"/>
        <v>30HDD20AF016</v>
      </c>
      <c r="M329" s="36">
        <v>30</v>
      </c>
      <c r="N329" s="36" t="s">
        <v>885</v>
      </c>
      <c r="O329" s="37" t="s">
        <v>64</v>
      </c>
      <c r="P329" s="36" t="s">
        <v>209</v>
      </c>
      <c r="Q329" s="37" t="s">
        <v>601</v>
      </c>
    </row>
    <row r="330" spans="1:17" x14ac:dyDescent="0.3">
      <c r="A330" t="s">
        <v>929</v>
      </c>
      <c r="B330" t="s">
        <v>8</v>
      </c>
      <c r="C330" s="6" t="s">
        <v>930</v>
      </c>
      <c r="D330" s="6"/>
      <c r="E330" s="6"/>
      <c r="F330" s="6" t="s">
        <v>712</v>
      </c>
      <c r="G330" s="6"/>
      <c r="I330" s="5" t="str">
        <f t="shared" si="11"/>
        <v>E9</v>
      </c>
      <c r="J330" t="s">
        <v>112</v>
      </c>
      <c r="K330" t="str">
        <f t="shared" si="10"/>
        <v/>
      </c>
      <c r="M330" s="6"/>
      <c r="N330" s="6"/>
      <c r="O330" s="6"/>
      <c r="P330" s="6"/>
      <c r="Q330" s="6"/>
    </row>
    <row r="331" spans="1:17" x14ac:dyDescent="0.3">
      <c r="A331" t="s">
        <v>929</v>
      </c>
      <c r="B331" s="38" t="s">
        <v>8</v>
      </c>
      <c r="C331" s="36" t="s">
        <v>904</v>
      </c>
      <c r="D331" s="37" t="s">
        <v>914</v>
      </c>
      <c r="E331" s="10">
        <v>9</v>
      </c>
      <c r="F331" s="39" t="s">
        <v>716</v>
      </c>
      <c r="G331" s="40"/>
      <c r="I331" s="5" t="str">
        <f t="shared" si="11"/>
        <v>E9</v>
      </c>
      <c r="J331" t="s">
        <v>123</v>
      </c>
      <c r="K331" t="str">
        <f t="shared" si="10"/>
        <v>30HDD20AF017</v>
      </c>
      <c r="M331" s="36">
        <v>30</v>
      </c>
      <c r="N331" s="36" t="s">
        <v>885</v>
      </c>
      <c r="O331" s="37" t="s">
        <v>64</v>
      </c>
      <c r="P331" s="36" t="s">
        <v>209</v>
      </c>
      <c r="Q331" s="37" t="s">
        <v>605</v>
      </c>
    </row>
    <row r="332" spans="1:17" x14ac:dyDescent="0.3">
      <c r="A332" s="4" t="s">
        <v>931</v>
      </c>
      <c r="B332" s="4" t="s">
        <v>8</v>
      </c>
      <c r="C332" s="3" t="s">
        <v>932</v>
      </c>
      <c r="D332" s="3"/>
      <c r="E332" s="3"/>
      <c r="F332" s="3" t="s">
        <v>933</v>
      </c>
      <c r="G332" s="3"/>
      <c r="I332" s="5" t="str">
        <f t="shared" si="11"/>
        <v>D1</v>
      </c>
      <c r="J332" t="s">
        <v>73</v>
      </c>
      <c r="K332" t="str">
        <f t="shared" si="10"/>
        <v/>
      </c>
      <c r="M332" s="3"/>
      <c r="N332" s="3"/>
      <c r="O332" s="3"/>
      <c r="P332" s="3"/>
      <c r="Q332" s="3"/>
    </row>
    <row r="333" spans="1:17" x14ac:dyDescent="0.3">
      <c r="A333" t="s">
        <v>931</v>
      </c>
      <c r="B333" s="38" t="s">
        <v>8</v>
      </c>
      <c r="C333" s="36" t="s">
        <v>934</v>
      </c>
      <c r="D333" s="37" t="s">
        <v>914</v>
      </c>
      <c r="E333" s="41">
        <v>12</v>
      </c>
      <c r="F333" s="42" t="s">
        <v>935</v>
      </c>
      <c r="G333" s="40"/>
      <c r="I333" s="5" t="str">
        <f t="shared" si="11"/>
        <v>D1</v>
      </c>
      <c r="J333" t="s">
        <v>62</v>
      </c>
      <c r="K333" t="str">
        <f t="shared" si="10"/>
        <v>30HDD20AF018</v>
      </c>
      <c r="M333" s="36">
        <v>30</v>
      </c>
      <c r="N333" s="36" t="s">
        <v>885</v>
      </c>
      <c r="O333" s="37" t="s">
        <v>64</v>
      </c>
      <c r="P333" s="36" t="s">
        <v>209</v>
      </c>
      <c r="Q333" s="37" t="s">
        <v>608</v>
      </c>
    </row>
    <row r="334" spans="1:17" x14ac:dyDescent="0.3">
      <c r="A334" t="s">
        <v>936</v>
      </c>
      <c r="B334" s="38" t="s">
        <v>8</v>
      </c>
      <c r="C334" s="36" t="s">
        <v>937</v>
      </c>
      <c r="D334" s="37" t="s">
        <v>914</v>
      </c>
      <c r="E334" s="10">
        <v>1</v>
      </c>
      <c r="F334" s="10" t="s">
        <v>938</v>
      </c>
      <c r="G334" s="40"/>
      <c r="I334" s="5" t="str">
        <f t="shared" si="11"/>
        <v>A1</v>
      </c>
      <c r="J334" t="s">
        <v>93</v>
      </c>
      <c r="K334" t="str">
        <f t="shared" si="10"/>
        <v>30HDD20GH010</v>
      </c>
      <c r="M334" s="36">
        <v>30</v>
      </c>
      <c r="N334" s="36" t="s">
        <v>885</v>
      </c>
      <c r="O334" s="37" t="s">
        <v>64</v>
      </c>
      <c r="P334" s="36" t="s">
        <v>190</v>
      </c>
      <c r="Q334" s="37" t="s">
        <v>82</v>
      </c>
    </row>
    <row r="335" spans="1:17" x14ac:dyDescent="0.3">
      <c r="A335" t="s">
        <v>939</v>
      </c>
      <c r="B335" s="15" t="s">
        <v>38</v>
      </c>
      <c r="C335" s="13" t="s">
        <v>941</v>
      </c>
      <c r="D335" s="14" t="s">
        <v>942</v>
      </c>
      <c r="E335" s="16"/>
      <c r="F335" s="16"/>
      <c r="G335" s="17"/>
      <c r="I335" s="5" t="str">
        <f t="shared" si="11"/>
        <v/>
      </c>
      <c r="J335" t="s">
        <v>97</v>
      </c>
      <c r="K335" t="str">
        <f t="shared" si="10"/>
        <v>30HHC01AM001</v>
      </c>
      <c r="M335" s="13">
        <v>30</v>
      </c>
      <c r="N335" s="13" t="s">
        <v>940</v>
      </c>
      <c r="O335" s="14" t="s">
        <v>443</v>
      </c>
      <c r="P335" s="13" t="s">
        <v>394</v>
      </c>
      <c r="Q335" s="14" t="s">
        <v>48</v>
      </c>
    </row>
    <row r="336" spans="1:17" x14ac:dyDescent="0.3">
      <c r="A336" t="s">
        <v>943</v>
      </c>
      <c r="B336" s="15" t="s">
        <v>38</v>
      </c>
      <c r="C336" s="13" t="s">
        <v>945</v>
      </c>
      <c r="D336" s="14" t="s">
        <v>942</v>
      </c>
      <c r="E336" s="16"/>
      <c r="F336" s="16"/>
      <c r="G336" s="17"/>
      <c r="I336" s="5" t="str">
        <f t="shared" si="11"/>
        <v/>
      </c>
      <c r="J336" t="s">
        <v>693</v>
      </c>
      <c r="K336" t="str">
        <f t="shared" si="10"/>
        <v>30HHX02AP001</v>
      </c>
      <c r="M336" s="13">
        <v>30</v>
      </c>
      <c r="N336" s="13" t="s">
        <v>944</v>
      </c>
      <c r="O336" s="14" t="s">
        <v>448</v>
      </c>
      <c r="P336" s="13" t="s">
        <v>399</v>
      </c>
      <c r="Q336" s="14" t="s">
        <v>48</v>
      </c>
    </row>
    <row r="337" spans="1:17" x14ac:dyDescent="0.3">
      <c r="A337" t="s">
        <v>946</v>
      </c>
      <c r="B337" s="15" t="s">
        <v>38</v>
      </c>
      <c r="C337" s="13" t="s">
        <v>947</v>
      </c>
      <c r="D337" s="14" t="s">
        <v>942</v>
      </c>
      <c r="E337" s="16"/>
      <c r="F337" s="16"/>
      <c r="G337" s="17"/>
      <c r="I337" s="5" t="str">
        <f t="shared" si="11"/>
        <v/>
      </c>
      <c r="J337" t="s">
        <v>78</v>
      </c>
      <c r="K337" t="str">
        <f t="shared" si="10"/>
        <v>30HHX02AP003</v>
      </c>
      <c r="M337" s="13">
        <v>30</v>
      </c>
      <c r="N337" s="13" t="s">
        <v>944</v>
      </c>
      <c r="O337" s="14" t="s">
        <v>448</v>
      </c>
      <c r="P337" s="13" t="s">
        <v>399</v>
      </c>
      <c r="Q337" s="14" t="s">
        <v>317</v>
      </c>
    </row>
    <row r="338" spans="1:17" x14ac:dyDescent="0.3">
      <c r="A338" t="s">
        <v>948</v>
      </c>
      <c r="B338" s="15" t="s">
        <v>38</v>
      </c>
      <c r="C338" s="13" t="s">
        <v>949</v>
      </c>
      <c r="D338" s="14"/>
      <c r="E338" s="16"/>
      <c r="F338" s="16"/>
      <c r="G338" s="17"/>
      <c r="I338" s="5" t="str">
        <f t="shared" si="11"/>
        <v/>
      </c>
      <c r="J338" t="s">
        <v>528</v>
      </c>
      <c r="K338" t="str">
        <f t="shared" si="10"/>
        <v>30HHC05AN001</v>
      </c>
      <c r="M338" s="13">
        <v>30</v>
      </c>
      <c r="N338" s="13" t="s">
        <v>940</v>
      </c>
      <c r="O338" s="14" t="s">
        <v>481</v>
      </c>
      <c r="P338" s="13" t="s">
        <v>273</v>
      </c>
      <c r="Q338" s="14" t="s">
        <v>48</v>
      </c>
    </row>
    <row r="339" spans="1:17" x14ac:dyDescent="0.3">
      <c r="A339" t="s">
        <v>950</v>
      </c>
      <c r="B339" s="15" t="s">
        <v>38</v>
      </c>
      <c r="C339" s="13" t="s">
        <v>951</v>
      </c>
      <c r="D339" s="14"/>
      <c r="E339" s="16"/>
      <c r="F339" s="16"/>
      <c r="G339" s="17"/>
      <c r="I339" s="5" t="str">
        <f t="shared" si="11"/>
        <v/>
      </c>
      <c r="J339" t="s">
        <v>624</v>
      </c>
      <c r="K339" t="str">
        <f t="shared" si="10"/>
        <v>30HHC05AN002</v>
      </c>
      <c r="M339" s="13">
        <v>30</v>
      </c>
      <c r="N339" s="13" t="s">
        <v>940</v>
      </c>
      <c r="O339" s="14" t="s">
        <v>481</v>
      </c>
      <c r="P339" s="13" t="s">
        <v>273</v>
      </c>
      <c r="Q339" s="14" t="s">
        <v>233</v>
      </c>
    </row>
    <row r="340" spans="1:17" x14ac:dyDescent="0.3">
      <c r="A340" t="s">
        <v>952</v>
      </c>
      <c r="B340" s="15" t="s">
        <v>38</v>
      </c>
      <c r="C340" s="13" t="s">
        <v>954</v>
      </c>
      <c r="D340" s="14" t="s">
        <v>955</v>
      </c>
      <c r="E340" s="16"/>
      <c r="F340" s="16"/>
      <c r="G340" s="17"/>
      <c r="I340" s="5" t="str">
        <f t="shared" si="11"/>
        <v/>
      </c>
      <c r="J340" t="s">
        <v>581</v>
      </c>
      <c r="K340" t="str">
        <f t="shared" si="10"/>
        <v>30HHH10AP001</v>
      </c>
      <c r="M340" s="13">
        <v>30</v>
      </c>
      <c r="N340" s="13" t="s">
        <v>953</v>
      </c>
      <c r="O340" s="14" t="s">
        <v>46</v>
      </c>
      <c r="P340" s="13" t="s">
        <v>399</v>
      </c>
      <c r="Q340" s="14" t="s">
        <v>48</v>
      </c>
    </row>
    <row r="341" spans="1:17" x14ac:dyDescent="0.3">
      <c r="A341" t="s">
        <v>956</v>
      </c>
      <c r="B341" s="15" t="s">
        <v>38</v>
      </c>
      <c r="C341" s="13" t="s">
        <v>957</v>
      </c>
      <c r="D341" s="14"/>
      <c r="E341" s="16">
        <v>1</v>
      </c>
      <c r="F341" s="12" t="s">
        <v>958</v>
      </c>
      <c r="G341" s="17"/>
      <c r="I341" s="5" t="str">
        <f t="shared" si="11"/>
        <v>C1</v>
      </c>
      <c r="J341" t="s">
        <v>713</v>
      </c>
      <c r="K341" t="str">
        <f t="shared" si="10"/>
        <v>30HHC10GH001</v>
      </c>
      <c r="M341" s="13">
        <v>30</v>
      </c>
      <c r="N341" s="13" t="s">
        <v>940</v>
      </c>
      <c r="O341" s="14" t="s">
        <v>46</v>
      </c>
      <c r="P341" s="13" t="s">
        <v>190</v>
      </c>
      <c r="Q341" s="14" t="s">
        <v>48</v>
      </c>
    </row>
    <row r="342" spans="1:17" x14ac:dyDescent="0.3">
      <c r="A342" t="s">
        <v>956</v>
      </c>
      <c r="B342" s="15" t="s">
        <v>38</v>
      </c>
      <c r="C342" s="13" t="s">
        <v>959</v>
      </c>
      <c r="D342" s="14"/>
      <c r="E342" s="16">
        <v>1</v>
      </c>
      <c r="F342" s="12" t="s">
        <v>20</v>
      </c>
      <c r="G342" s="17"/>
      <c r="I342" s="5" t="str">
        <f t="shared" si="11"/>
        <v>B1</v>
      </c>
      <c r="J342" t="s">
        <v>531</v>
      </c>
      <c r="K342" t="str">
        <f t="shared" si="10"/>
        <v>30HHC10GH001</v>
      </c>
      <c r="M342" s="13">
        <v>30</v>
      </c>
      <c r="N342" s="13" t="s">
        <v>940</v>
      </c>
      <c r="O342" s="14" t="s">
        <v>46</v>
      </c>
      <c r="P342" s="13" t="s">
        <v>190</v>
      </c>
      <c r="Q342" s="14" t="s">
        <v>48</v>
      </c>
    </row>
    <row r="343" spans="1:17" x14ac:dyDescent="0.3">
      <c r="A343" t="s">
        <v>960</v>
      </c>
      <c r="B343" s="15" t="s">
        <v>38</v>
      </c>
      <c r="C343" s="13" t="s">
        <v>961</v>
      </c>
      <c r="D343" s="14" t="s">
        <v>962</v>
      </c>
      <c r="E343" s="16"/>
      <c r="F343" s="16"/>
      <c r="G343" s="17"/>
      <c r="I343" s="5" t="str">
        <f t="shared" si="11"/>
        <v/>
      </c>
      <c r="J343" t="s">
        <v>678</v>
      </c>
      <c r="K343" t="str">
        <f t="shared" si="10"/>
        <v>30HHC11AP001</v>
      </c>
      <c r="M343" s="13">
        <v>30</v>
      </c>
      <c r="N343" s="13" t="s">
        <v>940</v>
      </c>
      <c r="O343" s="14" t="s">
        <v>264</v>
      </c>
      <c r="P343" s="13" t="s">
        <v>399</v>
      </c>
      <c r="Q343" s="14" t="s">
        <v>48</v>
      </c>
    </row>
    <row r="344" spans="1:17" x14ac:dyDescent="0.3">
      <c r="A344" t="s">
        <v>963</v>
      </c>
      <c r="B344" s="15" t="s">
        <v>38</v>
      </c>
      <c r="C344" s="13" t="s">
        <v>964</v>
      </c>
      <c r="D344" s="14" t="s">
        <v>962</v>
      </c>
      <c r="E344" s="16"/>
      <c r="F344" s="16"/>
      <c r="G344" s="17"/>
      <c r="I344" s="5" t="str">
        <f t="shared" si="11"/>
        <v/>
      </c>
      <c r="J344" t="s">
        <v>587</v>
      </c>
      <c r="K344" t="str">
        <f t="shared" si="10"/>
        <v>30HHC12AP001</v>
      </c>
      <c r="M344" s="13">
        <v>30</v>
      </c>
      <c r="N344" s="13" t="s">
        <v>940</v>
      </c>
      <c r="O344" s="14" t="s">
        <v>270</v>
      </c>
      <c r="P344" s="13" t="s">
        <v>399</v>
      </c>
      <c r="Q344" s="14" t="s">
        <v>48</v>
      </c>
    </row>
    <row r="345" spans="1:17" x14ac:dyDescent="0.3">
      <c r="A345" t="s">
        <v>965</v>
      </c>
      <c r="B345" s="15" t="s">
        <v>38</v>
      </c>
      <c r="C345" s="13" t="s">
        <v>966</v>
      </c>
      <c r="D345" s="14" t="s">
        <v>962</v>
      </c>
      <c r="E345" s="16"/>
      <c r="F345" s="16"/>
      <c r="G345" s="17"/>
      <c r="I345" s="5" t="str">
        <f t="shared" si="11"/>
        <v/>
      </c>
      <c r="J345" t="s">
        <v>566</v>
      </c>
      <c r="K345" t="str">
        <f t="shared" si="10"/>
        <v>30HHC13AP001</v>
      </c>
      <c r="M345" s="13">
        <v>30</v>
      </c>
      <c r="N345" s="13" t="s">
        <v>940</v>
      </c>
      <c r="O345" s="14" t="s">
        <v>420</v>
      </c>
      <c r="P345" s="13" t="s">
        <v>399</v>
      </c>
      <c r="Q345" s="14" t="s">
        <v>48</v>
      </c>
    </row>
    <row r="346" spans="1:17" x14ac:dyDescent="0.3">
      <c r="A346" t="s">
        <v>967</v>
      </c>
      <c r="B346" s="15" t="s">
        <v>38</v>
      </c>
      <c r="C346" s="13" t="s">
        <v>968</v>
      </c>
      <c r="D346" s="14" t="s">
        <v>955</v>
      </c>
      <c r="E346" s="16"/>
      <c r="F346" s="16"/>
      <c r="G346" s="17"/>
      <c r="I346" s="5" t="str">
        <f t="shared" si="11"/>
        <v/>
      </c>
      <c r="J346" t="s">
        <v>707</v>
      </c>
      <c r="K346" t="str">
        <f t="shared" si="10"/>
        <v>30HHH20AP001</v>
      </c>
      <c r="M346" s="13">
        <v>30</v>
      </c>
      <c r="N346" s="13" t="s">
        <v>953</v>
      </c>
      <c r="O346" s="14" t="s">
        <v>64</v>
      </c>
      <c r="P346" s="13" t="s">
        <v>399</v>
      </c>
      <c r="Q346" s="14" t="s">
        <v>48</v>
      </c>
    </row>
    <row r="347" spans="1:17" x14ac:dyDescent="0.3">
      <c r="A347" t="s">
        <v>969</v>
      </c>
      <c r="B347" s="15" t="s">
        <v>38</v>
      </c>
      <c r="C347" s="13" t="s">
        <v>970</v>
      </c>
      <c r="D347" s="14" t="s">
        <v>962</v>
      </c>
      <c r="E347" s="16"/>
      <c r="F347" s="16"/>
      <c r="G347" s="17"/>
      <c r="I347" s="5" t="str">
        <f t="shared" si="11"/>
        <v/>
      </c>
      <c r="J347" t="s">
        <v>735</v>
      </c>
      <c r="K347" t="str">
        <f t="shared" si="10"/>
        <v>30HHC21AP001</v>
      </c>
      <c r="M347" s="13">
        <v>30</v>
      </c>
      <c r="N347" s="13" t="s">
        <v>940</v>
      </c>
      <c r="O347" s="14" t="s">
        <v>280</v>
      </c>
      <c r="P347" s="13" t="s">
        <v>399</v>
      </c>
      <c r="Q347" s="14" t="s">
        <v>48</v>
      </c>
    </row>
    <row r="348" spans="1:17" x14ac:dyDescent="0.3">
      <c r="A348" t="s">
        <v>971</v>
      </c>
      <c r="B348" s="15" t="s">
        <v>38</v>
      </c>
      <c r="C348" s="13" t="s">
        <v>972</v>
      </c>
      <c r="D348" s="14" t="s">
        <v>962</v>
      </c>
      <c r="E348" s="16"/>
      <c r="F348" s="16"/>
      <c r="G348" s="17"/>
      <c r="I348" s="5" t="str">
        <f t="shared" si="11"/>
        <v/>
      </c>
      <c r="J348" t="s">
        <v>973</v>
      </c>
      <c r="K348" t="str">
        <f t="shared" si="10"/>
        <v>30HHC22AP001</v>
      </c>
      <c r="M348" s="13">
        <v>30</v>
      </c>
      <c r="N348" s="13" t="s">
        <v>940</v>
      </c>
      <c r="O348" s="14" t="s">
        <v>459</v>
      </c>
      <c r="P348" s="13" t="s">
        <v>399</v>
      </c>
      <c r="Q348" s="14" t="s">
        <v>48</v>
      </c>
    </row>
    <row r="349" spans="1:17" x14ac:dyDescent="0.3">
      <c r="A349" t="s">
        <v>974</v>
      </c>
      <c r="B349" s="15" t="s">
        <v>38</v>
      </c>
      <c r="C349" s="13" t="s">
        <v>976</v>
      </c>
      <c r="D349" s="14" t="s">
        <v>962</v>
      </c>
      <c r="E349" s="16"/>
      <c r="F349" s="16"/>
      <c r="G349" s="17"/>
      <c r="I349" s="5" t="str">
        <f t="shared" si="11"/>
        <v/>
      </c>
      <c r="J349" t="s">
        <v>977</v>
      </c>
      <c r="K349" t="str">
        <f t="shared" si="10"/>
        <v>30HHC23AP001</v>
      </c>
      <c r="M349" s="13">
        <v>30</v>
      </c>
      <c r="N349" s="13" t="s">
        <v>940</v>
      </c>
      <c r="O349" s="14" t="s">
        <v>975</v>
      </c>
      <c r="P349" s="13" t="s">
        <v>399</v>
      </c>
      <c r="Q349" s="14" t="s">
        <v>48</v>
      </c>
    </row>
    <row r="350" spans="1:17" x14ac:dyDescent="0.3">
      <c r="A350" t="s">
        <v>978</v>
      </c>
      <c r="B350" s="15" t="s">
        <v>38</v>
      </c>
      <c r="C350" s="13" t="s">
        <v>979</v>
      </c>
      <c r="D350" s="14" t="s">
        <v>955</v>
      </c>
      <c r="E350" s="16"/>
      <c r="F350" s="16"/>
      <c r="G350" s="17"/>
      <c r="I350" s="5" t="str">
        <f t="shared" si="11"/>
        <v/>
      </c>
      <c r="J350" t="s">
        <v>569</v>
      </c>
      <c r="K350" t="str">
        <f t="shared" si="10"/>
        <v>30HHH30AP001</v>
      </c>
      <c r="M350" s="13">
        <v>30</v>
      </c>
      <c r="N350" s="13" t="s">
        <v>953</v>
      </c>
      <c r="O350" s="14" t="s">
        <v>37</v>
      </c>
      <c r="P350" s="13" t="s">
        <v>399</v>
      </c>
      <c r="Q350" s="14" t="s">
        <v>48</v>
      </c>
    </row>
    <row r="351" spans="1:17" x14ac:dyDescent="0.3">
      <c r="A351" t="s">
        <v>980</v>
      </c>
      <c r="B351" s="15" t="s">
        <v>38</v>
      </c>
      <c r="C351" s="13" t="s">
        <v>981</v>
      </c>
      <c r="D351" s="14" t="s">
        <v>982</v>
      </c>
      <c r="E351" s="16"/>
      <c r="F351" s="16"/>
      <c r="G351" s="17"/>
      <c r="I351" s="5" t="str">
        <f t="shared" si="11"/>
        <v/>
      </c>
      <c r="J351" t="s">
        <v>640</v>
      </c>
      <c r="K351" t="str">
        <f t="shared" si="10"/>
        <v>30HHC31AP001</v>
      </c>
      <c r="M351" s="13">
        <v>30</v>
      </c>
      <c r="N351" s="13" t="s">
        <v>940</v>
      </c>
      <c r="O351" s="14" t="s">
        <v>286</v>
      </c>
      <c r="P351" s="13" t="s">
        <v>399</v>
      </c>
      <c r="Q351" s="14" t="s">
        <v>48</v>
      </c>
    </row>
    <row r="352" spans="1:17" x14ac:dyDescent="0.3">
      <c r="A352" t="s">
        <v>983</v>
      </c>
      <c r="B352" s="15" t="s">
        <v>38</v>
      </c>
      <c r="C352" s="13" t="s">
        <v>984</v>
      </c>
      <c r="D352" s="14" t="s">
        <v>982</v>
      </c>
      <c r="E352" s="16"/>
      <c r="F352" s="16"/>
      <c r="G352" s="17"/>
      <c r="I352" s="5"/>
      <c r="K352" t="str">
        <f t="shared" si="10"/>
        <v>30HHC32AP001</v>
      </c>
      <c r="M352" s="13">
        <v>30</v>
      </c>
      <c r="N352" s="13" t="s">
        <v>940</v>
      </c>
      <c r="O352" s="14" t="s">
        <v>464</v>
      </c>
      <c r="P352" s="13" t="s">
        <v>399</v>
      </c>
      <c r="Q352" s="14" t="s">
        <v>48</v>
      </c>
    </row>
    <row r="353" spans="1:17" x14ac:dyDescent="0.3">
      <c r="A353" t="s">
        <v>985</v>
      </c>
      <c r="B353" s="15" t="s">
        <v>38</v>
      </c>
      <c r="C353" s="13" t="s">
        <v>987</v>
      </c>
      <c r="D353" s="14" t="s">
        <v>982</v>
      </c>
      <c r="E353" s="16"/>
      <c r="F353" s="16"/>
      <c r="G353" s="17"/>
      <c r="I353" s="5"/>
      <c r="K353" t="str">
        <f t="shared" si="10"/>
        <v>30HHC33AP001</v>
      </c>
      <c r="M353" s="13">
        <v>30</v>
      </c>
      <c r="N353" s="13" t="s">
        <v>940</v>
      </c>
      <c r="O353" s="14" t="s">
        <v>986</v>
      </c>
      <c r="P353" s="13" t="s">
        <v>399</v>
      </c>
      <c r="Q353" s="14" t="s">
        <v>48</v>
      </c>
    </row>
    <row r="354" spans="1:17" x14ac:dyDescent="0.3">
      <c r="A354" t="s">
        <v>988</v>
      </c>
      <c r="B354" s="15" t="s">
        <v>38</v>
      </c>
      <c r="C354" s="13" t="s">
        <v>989</v>
      </c>
      <c r="D354" s="14" t="s">
        <v>955</v>
      </c>
      <c r="E354" s="16"/>
      <c r="F354" s="16"/>
      <c r="G354" s="17"/>
      <c r="I354" s="5"/>
      <c r="K354" t="str">
        <f t="shared" si="10"/>
        <v>30HHH40AP001</v>
      </c>
      <c r="M354" s="13">
        <v>30</v>
      </c>
      <c r="N354" s="13" t="s">
        <v>953</v>
      </c>
      <c r="O354" s="14" t="s">
        <v>120</v>
      </c>
      <c r="P354" s="13" t="s">
        <v>399</v>
      </c>
      <c r="Q354" s="14" t="s">
        <v>48</v>
      </c>
    </row>
    <row r="355" spans="1:17" x14ac:dyDescent="0.3">
      <c r="A355" t="s">
        <v>990</v>
      </c>
      <c r="B355" s="15" t="s">
        <v>38</v>
      </c>
      <c r="C355" s="13" t="s">
        <v>991</v>
      </c>
      <c r="D355" s="14" t="s">
        <v>982</v>
      </c>
      <c r="E355" s="16"/>
      <c r="F355" s="16"/>
      <c r="G355" s="17"/>
      <c r="I355" s="5"/>
      <c r="K355" t="str">
        <f t="shared" si="10"/>
        <v>30HHC41AP001</v>
      </c>
      <c r="M355" s="13">
        <v>30</v>
      </c>
      <c r="N355" s="13" t="s">
        <v>940</v>
      </c>
      <c r="O355" s="14" t="s">
        <v>295</v>
      </c>
      <c r="P355" s="13" t="s">
        <v>399</v>
      </c>
      <c r="Q355" s="14" t="s">
        <v>48</v>
      </c>
    </row>
    <row r="356" spans="1:17" x14ac:dyDescent="0.3">
      <c r="A356" t="s">
        <v>992</v>
      </c>
      <c r="B356" s="15" t="s">
        <v>38</v>
      </c>
      <c r="C356" s="13" t="s">
        <v>993</v>
      </c>
      <c r="D356" s="14" t="s">
        <v>982</v>
      </c>
      <c r="E356" s="16"/>
      <c r="F356" s="16"/>
      <c r="G356" s="17"/>
      <c r="I356" s="5"/>
      <c r="K356" t="str">
        <f t="shared" si="10"/>
        <v>30HHC42AP001</v>
      </c>
      <c r="M356" s="13">
        <v>30</v>
      </c>
      <c r="N356" s="13" t="s">
        <v>940</v>
      </c>
      <c r="O356" s="14" t="s">
        <v>299</v>
      </c>
      <c r="P356" s="13" t="s">
        <v>399</v>
      </c>
      <c r="Q356" s="14" t="s">
        <v>48</v>
      </c>
    </row>
    <row r="357" spans="1:17" x14ac:dyDescent="0.3">
      <c r="A357" t="s">
        <v>994</v>
      </c>
      <c r="B357" s="15" t="s">
        <v>38</v>
      </c>
      <c r="C357" s="13" t="s">
        <v>996</v>
      </c>
      <c r="D357" s="14" t="s">
        <v>982</v>
      </c>
      <c r="E357" s="16"/>
      <c r="F357" s="16"/>
      <c r="G357" s="17"/>
      <c r="I357" s="5" t="str">
        <f t="shared" si="11"/>
        <v/>
      </c>
      <c r="J357" t="s">
        <v>362</v>
      </c>
      <c r="K357" t="str">
        <f t="shared" si="10"/>
        <v>30HHC43AP001</v>
      </c>
      <c r="M357" s="13">
        <v>30</v>
      </c>
      <c r="N357" s="13" t="s">
        <v>940</v>
      </c>
      <c r="O357" s="14" t="s">
        <v>995</v>
      </c>
      <c r="P357" s="13" t="s">
        <v>399</v>
      </c>
      <c r="Q357" s="14" t="s">
        <v>48</v>
      </c>
    </row>
    <row r="358" spans="1:17" x14ac:dyDescent="0.3">
      <c r="A358" t="s">
        <v>997</v>
      </c>
      <c r="B358" s="15" t="s">
        <v>38</v>
      </c>
      <c r="C358" s="13" t="s">
        <v>998</v>
      </c>
      <c r="D358" s="14" t="s">
        <v>955</v>
      </c>
      <c r="E358" s="16"/>
      <c r="F358" s="16"/>
      <c r="G358" s="17"/>
      <c r="I358" s="5" t="str">
        <f t="shared" si="11"/>
        <v/>
      </c>
      <c r="J358" t="s">
        <v>744</v>
      </c>
      <c r="K358" t="str">
        <f t="shared" si="10"/>
        <v>30HHH50AP001</v>
      </c>
      <c r="M358" s="13">
        <v>30</v>
      </c>
      <c r="N358" s="13" t="s">
        <v>953</v>
      </c>
      <c r="O358" s="14" t="s">
        <v>415</v>
      </c>
      <c r="P358" s="13" t="s">
        <v>399</v>
      </c>
      <c r="Q358" s="14" t="s">
        <v>48</v>
      </c>
    </row>
    <row r="359" spans="1:17" x14ac:dyDescent="0.3">
      <c r="A359" t="s">
        <v>999</v>
      </c>
      <c r="B359" s="15" t="s">
        <v>38</v>
      </c>
      <c r="C359" s="13" t="s">
        <v>1001</v>
      </c>
      <c r="D359" s="14" t="s">
        <v>982</v>
      </c>
      <c r="E359" s="16"/>
      <c r="F359" s="16"/>
      <c r="G359" s="17"/>
      <c r="I359" s="5" t="str">
        <f t="shared" si="11"/>
        <v/>
      </c>
      <c r="J359" t="s">
        <v>553</v>
      </c>
      <c r="K359" t="str">
        <f t="shared" si="10"/>
        <v>30HHC51AP001</v>
      </c>
      <c r="M359" s="13">
        <v>30</v>
      </c>
      <c r="N359" s="13" t="s">
        <v>940</v>
      </c>
      <c r="O359" s="14" t="s">
        <v>1000</v>
      </c>
      <c r="P359" s="13" t="s">
        <v>399</v>
      </c>
      <c r="Q359" s="14" t="s">
        <v>48</v>
      </c>
    </row>
    <row r="360" spans="1:17" x14ac:dyDescent="0.3">
      <c r="A360" t="s">
        <v>1002</v>
      </c>
      <c r="B360" s="15" t="s">
        <v>38</v>
      </c>
      <c r="C360" s="13" t="s">
        <v>1004</v>
      </c>
      <c r="D360" s="14" t="s">
        <v>982</v>
      </c>
      <c r="E360" s="16"/>
      <c r="F360" s="16"/>
      <c r="G360" s="17"/>
      <c r="I360" s="5" t="str">
        <f t="shared" si="11"/>
        <v/>
      </c>
      <c r="J360" t="s">
        <v>402</v>
      </c>
      <c r="K360" t="str">
        <f t="shared" si="10"/>
        <v>30HHC52AP001</v>
      </c>
      <c r="M360" s="13">
        <v>30</v>
      </c>
      <c r="N360" s="13" t="s">
        <v>940</v>
      </c>
      <c r="O360" s="14" t="s">
        <v>1003</v>
      </c>
      <c r="P360" s="13" t="s">
        <v>399</v>
      </c>
      <c r="Q360" s="14" t="s">
        <v>48</v>
      </c>
    </row>
    <row r="361" spans="1:17" x14ac:dyDescent="0.3">
      <c r="A361" t="s">
        <v>1005</v>
      </c>
      <c r="B361" s="15" t="s">
        <v>38</v>
      </c>
      <c r="C361" s="13" t="s">
        <v>1006</v>
      </c>
      <c r="D361" s="14" t="s">
        <v>982</v>
      </c>
      <c r="E361" s="16"/>
      <c r="F361" s="16"/>
      <c r="G361" s="17"/>
      <c r="I361" s="5" t="str">
        <f t="shared" si="11"/>
        <v/>
      </c>
      <c r="J361" t="s">
        <v>410</v>
      </c>
      <c r="K361" t="str">
        <f t="shared" si="10"/>
        <v>30HHC53AP001</v>
      </c>
      <c r="M361" s="13">
        <v>30</v>
      </c>
      <c r="N361" s="13" t="s">
        <v>940</v>
      </c>
      <c r="O361" s="14" t="s">
        <v>428</v>
      </c>
      <c r="P361" s="13" t="s">
        <v>399</v>
      </c>
      <c r="Q361" s="14" t="s">
        <v>48</v>
      </c>
    </row>
    <row r="362" spans="1:17" x14ac:dyDescent="0.3">
      <c r="A362" t="s">
        <v>1007</v>
      </c>
      <c r="B362" s="13" t="s">
        <v>38</v>
      </c>
      <c r="C362" s="13" t="s">
        <v>1009</v>
      </c>
      <c r="D362" s="14" t="s">
        <v>955</v>
      </c>
      <c r="E362" s="16"/>
      <c r="F362" s="16"/>
      <c r="G362" s="17"/>
      <c r="K362" t="str">
        <f t="shared" si="10"/>
        <v>30HHC96AP001</v>
      </c>
      <c r="M362" s="13">
        <v>30</v>
      </c>
      <c r="N362" s="13" t="s">
        <v>940</v>
      </c>
      <c r="O362" s="14" t="s">
        <v>1008</v>
      </c>
      <c r="P362" s="13" t="s">
        <v>399</v>
      </c>
      <c r="Q362" s="14" t="s">
        <v>48</v>
      </c>
    </row>
    <row r="363" spans="1:17" x14ac:dyDescent="0.3">
      <c r="A363" t="s">
        <v>1010</v>
      </c>
      <c r="B363" s="13" t="s">
        <v>38</v>
      </c>
      <c r="C363" s="13" t="s">
        <v>1012</v>
      </c>
      <c r="D363" s="14" t="s">
        <v>962</v>
      </c>
      <c r="E363" s="16"/>
      <c r="F363" s="16"/>
      <c r="G363" s="17"/>
      <c r="K363" t="str">
        <f t="shared" si="10"/>
        <v>30HHC97AP001</v>
      </c>
      <c r="M363" s="13">
        <v>30</v>
      </c>
      <c r="N363" s="13" t="s">
        <v>940</v>
      </c>
      <c r="O363" s="14" t="s">
        <v>1011</v>
      </c>
      <c r="P363" s="13" t="s">
        <v>399</v>
      </c>
      <c r="Q363" s="14" t="s">
        <v>48</v>
      </c>
    </row>
    <row r="364" spans="1:17" x14ac:dyDescent="0.3">
      <c r="A364" t="s">
        <v>1013</v>
      </c>
      <c r="B364" s="13" t="s">
        <v>1016</v>
      </c>
      <c r="C364" s="13" t="s">
        <v>1017</v>
      </c>
      <c r="D364" s="14"/>
      <c r="E364" s="16"/>
      <c r="F364" s="16"/>
      <c r="G364" s="17"/>
      <c r="K364" t="str">
        <f t="shared" si="10"/>
        <v>30HHH90AB501</v>
      </c>
      <c r="M364" s="13">
        <v>30</v>
      </c>
      <c r="N364" s="13" t="s">
        <v>953</v>
      </c>
      <c r="O364" s="14" t="s">
        <v>871</v>
      </c>
      <c r="P364" s="13" t="s">
        <v>1014</v>
      </c>
      <c r="Q364" s="14" t="s">
        <v>1015</v>
      </c>
    </row>
    <row r="365" spans="1:17" x14ac:dyDescent="0.3">
      <c r="A365" t="s">
        <v>1018</v>
      </c>
      <c r="B365" s="13" t="s">
        <v>1016</v>
      </c>
      <c r="C365" s="13" t="s">
        <v>1020</v>
      </c>
      <c r="D365" s="14"/>
      <c r="E365" s="16"/>
      <c r="F365" s="16"/>
      <c r="G365" s="17"/>
      <c r="M365" s="13">
        <v>30</v>
      </c>
      <c r="N365" s="13" t="s">
        <v>953</v>
      </c>
      <c r="O365" s="14" t="s">
        <v>1019</v>
      </c>
      <c r="P365" s="13" t="s">
        <v>1014</v>
      </c>
      <c r="Q365" s="14" t="s">
        <v>1015</v>
      </c>
    </row>
    <row r="366" spans="1:17" x14ac:dyDescent="0.3">
      <c r="A366" t="s">
        <v>1021</v>
      </c>
      <c r="B366" s="13" t="s">
        <v>1016</v>
      </c>
      <c r="C366" s="13" t="s">
        <v>1022</v>
      </c>
      <c r="D366" s="14"/>
      <c r="E366" s="16"/>
      <c r="F366" s="16"/>
      <c r="G366" s="17"/>
      <c r="M366" s="13">
        <v>30</v>
      </c>
      <c r="N366" s="13" t="s">
        <v>646</v>
      </c>
      <c r="O366" s="14" t="s">
        <v>1008</v>
      </c>
      <c r="P366" s="13" t="s">
        <v>399</v>
      </c>
      <c r="Q366" s="14" t="s">
        <v>48</v>
      </c>
    </row>
    <row r="367" spans="1:17" x14ac:dyDescent="0.3">
      <c r="A367" t="s">
        <v>1023</v>
      </c>
      <c r="B367" s="13" t="s">
        <v>1016</v>
      </c>
      <c r="C367" s="13" t="s">
        <v>1024</v>
      </c>
      <c r="D367" s="14"/>
      <c r="E367" s="16"/>
      <c r="F367" s="16"/>
      <c r="G367" s="17"/>
      <c r="M367" s="13">
        <v>30</v>
      </c>
      <c r="N367" s="13" t="s">
        <v>646</v>
      </c>
      <c r="O367" s="14" t="s">
        <v>1011</v>
      </c>
      <c r="P367" s="13" t="s">
        <v>399</v>
      </c>
      <c r="Q367" s="14" t="s">
        <v>48</v>
      </c>
    </row>
    <row r="368" spans="1:17" x14ac:dyDescent="0.3">
      <c r="A368" t="s">
        <v>1025</v>
      </c>
      <c r="B368" s="13" t="s">
        <v>38</v>
      </c>
      <c r="C368" s="13" t="s">
        <v>1026</v>
      </c>
      <c r="D368" s="14"/>
      <c r="E368" s="16"/>
      <c r="F368" s="16"/>
      <c r="G368" s="17"/>
      <c r="M368" s="13">
        <v>30</v>
      </c>
      <c r="N368" s="13" t="s">
        <v>646</v>
      </c>
      <c r="O368" s="14" t="s">
        <v>690</v>
      </c>
      <c r="P368" s="13" t="s">
        <v>540</v>
      </c>
      <c r="Q368" s="14" t="s">
        <v>48</v>
      </c>
    </row>
    <row r="369" spans="1:17" x14ac:dyDescent="0.3">
      <c r="A369" t="s">
        <v>1027</v>
      </c>
      <c r="B369" s="13" t="s">
        <v>38</v>
      </c>
      <c r="C369" s="13" t="s">
        <v>1029</v>
      </c>
      <c r="D369" s="14"/>
      <c r="E369" s="16"/>
      <c r="F369" s="16"/>
      <c r="G369" s="17"/>
      <c r="M369" s="13">
        <v>30</v>
      </c>
      <c r="N369" s="13" t="s">
        <v>1028</v>
      </c>
      <c r="O369" s="14" t="s">
        <v>270</v>
      </c>
      <c r="P369" s="13" t="s">
        <v>399</v>
      </c>
      <c r="Q369" s="14" t="s">
        <v>48</v>
      </c>
    </row>
    <row r="370" spans="1:17" x14ac:dyDescent="0.3">
      <c r="A370" t="s">
        <v>1030</v>
      </c>
      <c r="B370" s="13" t="s">
        <v>38</v>
      </c>
      <c r="C370" s="13" t="s">
        <v>1031</v>
      </c>
      <c r="D370" s="14"/>
      <c r="E370" s="16"/>
      <c r="F370" s="16"/>
      <c r="G370" s="17"/>
      <c r="M370" s="13">
        <v>30</v>
      </c>
      <c r="N370" s="13" t="s">
        <v>1028</v>
      </c>
      <c r="O370" s="14" t="s">
        <v>270</v>
      </c>
      <c r="P370" s="13" t="s">
        <v>399</v>
      </c>
      <c r="Q370" s="14" t="s">
        <v>233</v>
      </c>
    </row>
    <row r="371" spans="1:17" x14ac:dyDescent="0.3">
      <c r="A371" t="s">
        <v>1032</v>
      </c>
      <c r="B371" s="13" t="s">
        <v>38</v>
      </c>
      <c r="C371" s="13" t="s">
        <v>1033</v>
      </c>
      <c r="D371" s="14"/>
      <c r="E371" s="16"/>
      <c r="F371" s="16"/>
      <c r="G371" s="17"/>
      <c r="M371" s="13">
        <v>30</v>
      </c>
      <c r="N371" s="13" t="s">
        <v>1028</v>
      </c>
      <c r="O371" s="14" t="s">
        <v>459</v>
      </c>
      <c r="P371" s="13" t="s">
        <v>399</v>
      </c>
      <c r="Q371" s="14" t="s">
        <v>48</v>
      </c>
    </row>
    <row r="372" spans="1:17" x14ac:dyDescent="0.3">
      <c r="A372" t="s">
        <v>1034</v>
      </c>
      <c r="B372" s="13" t="s">
        <v>38</v>
      </c>
      <c r="C372" s="13" t="s">
        <v>1035</v>
      </c>
      <c r="D372" s="14"/>
      <c r="E372" s="16"/>
      <c r="F372" s="16"/>
      <c r="G372" s="17"/>
      <c r="M372" s="13">
        <v>30</v>
      </c>
      <c r="N372" s="13" t="s">
        <v>1028</v>
      </c>
      <c r="O372" s="14" t="s">
        <v>459</v>
      </c>
      <c r="P372" s="13" t="s">
        <v>399</v>
      </c>
      <c r="Q372" s="14" t="s">
        <v>233</v>
      </c>
    </row>
    <row r="373" spans="1:17" x14ac:dyDescent="0.3">
      <c r="A373" t="s">
        <v>1036</v>
      </c>
      <c r="B373" s="13" t="s">
        <v>38</v>
      </c>
      <c r="C373" s="13" t="s">
        <v>1037</v>
      </c>
      <c r="D373" s="14"/>
      <c r="E373" s="16"/>
      <c r="F373" s="16"/>
      <c r="G373" s="17"/>
      <c r="M373" s="13">
        <v>30</v>
      </c>
      <c r="N373" s="13" t="s">
        <v>944</v>
      </c>
      <c r="O373" s="14" t="s">
        <v>505</v>
      </c>
      <c r="P373" s="13" t="s">
        <v>399</v>
      </c>
      <c r="Q373" s="14" t="s">
        <v>48</v>
      </c>
    </row>
    <row r="374" spans="1:17" x14ac:dyDescent="0.3">
      <c r="A374" t="s">
        <v>1038</v>
      </c>
      <c r="B374" s="13" t="s">
        <v>38</v>
      </c>
      <c r="C374" s="13" t="s">
        <v>1039</v>
      </c>
      <c r="D374" s="14"/>
      <c r="E374" s="16"/>
      <c r="F374" s="16"/>
      <c r="G374" s="17"/>
      <c r="M374" s="13">
        <v>30</v>
      </c>
      <c r="N374" s="13" t="s">
        <v>944</v>
      </c>
      <c r="O374" s="14" t="s">
        <v>443</v>
      </c>
      <c r="P374" s="13" t="s">
        <v>394</v>
      </c>
      <c r="Q374" s="14" t="s">
        <v>48</v>
      </c>
    </row>
    <row r="375" spans="1:17" x14ac:dyDescent="0.3">
      <c r="A375" t="s">
        <v>1040</v>
      </c>
      <c r="B375" s="6" t="s">
        <v>11</v>
      </c>
      <c r="C375" s="6" t="s">
        <v>1041</v>
      </c>
      <c r="D375" s="6"/>
      <c r="E375" s="6"/>
      <c r="F375" s="6" t="s">
        <v>10</v>
      </c>
      <c r="G375" s="6"/>
      <c r="K375" t="str">
        <f t="shared" ref="K375:K410" si="12">M375 &amp; N375 &amp; O375 &amp; P375 &amp; Q375</f>
        <v/>
      </c>
      <c r="M375" s="6"/>
      <c r="N375" s="6"/>
      <c r="O375" s="6"/>
      <c r="P375" s="6"/>
      <c r="Q375" s="6"/>
    </row>
    <row r="376" spans="1:17" x14ac:dyDescent="0.3">
      <c r="A376" t="s">
        <v>1040</v>
      </c>
      <c r="B376" s="20" t="s">
        <v>11</v>
      </c>
      <c r="C376" s="20" t="s">
        <v>1043</v>
      </c>
      <c r="D376" s="21" t="s">
        <v>1044</v>
      </c>
      <c r="E376" s="23">
        <v>7</v>
      </c>
      <c r="F376" s="23" t="s">
        <v>216</v>
      </c>
      <c r="G376" s="24"/>
      <c r="K376" t="str">
        <f t="shared" si="12"/>
        <v>30HHL20AA001</v>
      </c>
      <c r="M376" s="20">
        <v>30</v>
      </c>
      <c r="N376" s="20" t="s">
        <v>1042</v>
      </c>
      <c r="O376" s="21" t="s">
        <v>64</v>
      </c>
      <c r="P376" s="21" t="s">
        <v>540</v>
      </c>
      <c r="Q376" s="21" t="s">
        <v>48</v>
      </c>
    </row>
    <row r="377" spans="1:17" x14ac:dyDescent="0.3">
      <c r="A377" t="s">
        <v>1040</v>
      </c>
      <c r="B377" s="20" t="s">
        <v>11</v>
      </c>
      <c r="C377" s="20" t="s">
        <v>1045</v>
      </c>
      <c r="D377" s="21" t="s">
        <v>1044</v>
      </c>
      <c r="E377" s="23">
        <v>3</v>
      </c>
      <c r="F377" s="23" t="s">
        <v>345</v>
      </c>
      <c r="G377" s="24"/>
      <c r="K377" t="str">
        <f t="shared" si="12"/>
        <v>30HHL20AA001</v>
      </c>
      <c r="M377" s="20">
        <v>30</v>
      </c>
      <c r="N377" s="20" t="s">
        <v>1042</v>
      </c>
      <c r="O377" s="21" t="s">
        <v>64</v>
      </c>
      <c r="P377" s="21" t="s">
        <v>540</v>
      </c>
      <c r="Q377" s="21" t="s">
        <v>48</v>
      </c>
    </row>
    <row r="378" spans="1:17" x14ac:dyDescent="0.3">
      <c r="A378" s="4" t="s">
        <v>1046</v>
      </c>
      <c r="B378" s="3" t="s">
        <v>11</v>
      </c>
      <c r="C378" s="3" t="s">
        <v>1047</v>
      </c>
      <c r="D378" s="3"/>
      <c r="E378" s="3"/>
      <c r="F378" s="3" t="s">
        <v>347</v>
      </c>
      <c r="G378" s="3"/>
      <c r="K378" t="str">
        <f t="shared" si="12"/>
        <v/>
      </c>
      <c r="M378" s="3"/>
      <c r="N378" s="3"/>
      <c r="O378" s="3"/>
      <c r="P378" s="3"/>
      <c r="Q378" s="3"/>
    </row>
    <row r="379" spans="1:17" x14ac:dyDescent="0.3">
      <c r="A379" t="s">
        <v>1048</v>
      </c>
      <c r="B379" s="6" t="s">
        <v>11</v>
      </c>
      <c r="C379" s="6" t="s">
        <v>1049</v>
      </c>
      <c r="D379" s="6"/>
      <c r="E379" s="6"/>
      <c r="F379" s="6" t="s">
        <v>1050</v>
      </c>
      <c r="G379" s="6"/>
      <c r="K379" t="str">
        <f t="shared" si="12"/>
        <v/>
      </c>
      <c r="M379" s="6"/>
      <c r="N379" s="6"/>
      <c r="O379" s="6"/>
      <c r="P379" s="6"/>
      <c r="Q379" s="6"/>
    </row>
    <row r="380" spans="1:17" x14ac:dyDescent="0.3">
      <c r="A380" t="s">
        <v>1048</v>
      </c>
      <c r="B380" s="20" t="s">
        <v>11</v>
      </c>
      <c r="C380" s="20" t="s">
        <v>1051</v>
      </c>
      <c r="D380" s="21" t="s">
        <v>1044</v>
      </c>
      <c r="E380" s="10">
        <v>8</v>
      </c>
      <c r="F380" s="10" t="s">
        <v>1052</v>
      </c>
      <c r="G380" s="24"/>
      <c r="K380" t="str">
        <f t="shared" si="12"/>
        <v>30HHL30AA001</v>
      </c>
      <c r="M380" s="20">
        <v>30</v>
      </c>
      <c r="N380" s="20" t="s">
        <v>1042</v>
      </c>
      <c r="O380" s="21" t="s">
        <v>37</v>
      </c>
      <c r="P380" s="21" t="s">
        <v>540</v>
      </c>
      <c r="Q380" s="21" t="s">
        <v>48</v>
      </c>
    </row>
    <row r="381" spans="1:17" x14ac:dyDescent="0.3">
      <c r="A381" t="s">
        <v>1048</v>
      </c>
      <c r="B381" s="20" t="s">
        <v>11</v>
      </c>
      <c r="C381" s="20" t="s">
        <v>1053</v>
      </c>
      <c r="D381" s="21" t="s">
        <v>1044</v>
      </c>
      <c r="E381" s="23">
        <v>4</v>
      </c>
      <c r="F381" s="23" t="s">
        <v>308</v>
      </c>
      <c r="G381" s="24"/>
      <c r="K381" t="str">
        <f t="shared" si="12"/>
        <v>30HHL30AA001</v>
      </c>
      <c r="M381" s="20">
        <v>30</v>
      </c>
      <c r="N381" s="20" t="s">
        <v>1042</v>
      </c>
      <c r="O381" s="21" t="s">
        <v>37</v>
      </c>
      <c r="P381" s="21" t="s">
        <v>540</v>
      </c>
      <c r="Q381" s="21" t="s">
        <v>48</v>
      </c>
    </row>
    <row r="382" spans="1:17" x14ac:dyDescent="0.3">
      <c r="A382" s="4" t="s">
        <v>1054</v>
      </c>
      <c r="B382" s="3" t="s">
        <v>11</v>
      </c>
      <c r="C382" s="3" t="s">
        <v>1055</v>
      </c>
      <c r="D382" s="3"/>
      <c r="E382" s="3"/>
      <c r="F382" s="3" t="s">
        <v>305</v>
      </c>
      <c r="G382" s="3"/>
      <c r="K382" t="str">
        <f t="shared" si="12"/>
        <v/>
      </c>
      <c r="M382" s="3"/>
      <c r="N382" s="3"/>
      <c r="O382" s="3"/>
      <c r="P382" s="3"/>
      <c r="Q382" s="3"/>
    </row>
    <row r="383" spans="1:17" x14ac:dyDescent="0.3">
      <c r="A383" t="s">
        <v>1056</v>
      </c>
      <c r="B383" s="6" t="s">
        <v>11</v>
      </c>
      <c r="C383" s="6" t="s">
        <v>1057</v>
      </c>
      <c r="D383" s="6"/>
      <c r="E383" s="6"/>
      <c r="F383" s="6" t="s">
        <v>1058</v>
      </c>
      <c r="G383" s="6"/>
      <c r="K383" t="str">
        <f t="shared" si="12"/>
        <v/>
      </c>
      <c r="M383" s="6"/>
      <c r="N383" s="6"/>
      <c r="O383" s="6"/>
      <c r="P383" s="6"/>
      <c r="Q383" s="6"/>
    </row>
    <row r="384" spans="1:17" x14ac:dyDescent="0.3">
      <c r="A384" t="s">
        <v>1056</v>
      </c>
      <c r="B384" s="20" t="s">
        <v>11</v>
      </c>
      <c r="C384" s="20" t="s">
        <v>1059</v>
      </c>
      <c r="D384" s="21" t="s">
        <v>1044</v>
      </c>
      <c r="E384" s="10">
        <v>9</v>
      </c>
      <c r="F384" s="10" t="s">
        <v>1060</v>
      </c>
      <c r="G384" s="24"/>
      <c r="K384" t="str">
        <f t="shared" si="12"/>
        <v>30HHL40AA001</v>
      </c>
      <c r="M384" s="20">
        <v>30</v>
      </c>
      <c r="N384" s="20" t="s">
        <v>1042</v>
      </c>
      <c r="O384" s="21" t="s">
        <v>120</v>
      </c>
      <c r="P384" s="21" t="s">
        <v>540</v>
      </c>
      <c r="Q384" s="21" t="s">
        <v>48</v>
      </c>
    </row>
    <row r="385" spans="1:17" x14ac:dyDescent="0.3">
      <c r="A385" t="s">
        <v>1056</v>
      </c>
      <c r="B385" s="20" t="s">
        <v>11</v>
      </c>
      <c r="C385" s="20" t="s">
        <v>1061</v>
      </c>
      <c r="D385" s="21" t="s">
        <v>1044</v>
      </c>
      <c r="E385" s="23">
        <v>5</v>
      </c>
      <c r="F385" s="23" t="s">
        <v>1062</v>
      </c>
      <c r="G385" s="24"/>
      <c r="K385" t="str">
        <f t="shared" si="12"/>
        <v>30HHL40AA001</v>
      </c>
      <c r="M385" s="20">
        <v>30</v>
      </c>
      <c r="N385" s="20" t="s">
        <v>1042</v>
      </c>
      <c r="O385" s="21" t="s">
        <v>120</v>
      </c>
      <c r="P385" s="21" t="s">
        <v>540</v>
      </c>
      <c r="Q385" s="21" t="s">
        <v>48</v>
      </c>
    </row>
    <row r="386" spans="1:17" x14ac:dyDescent="0.3">
      <c r="A386" s="4" t="s">
        <v>1063</v>
      </c>
      <c r="B386" s="3" t="s">
        <v>11</v>
      </c>
      <c r="C386" s="3" t="s">
        <v>1064</v>
      </c>
      <c r="D386" s="3"/>
      <c r="E386" s="3"/>
      <c r="F386" s="3" t="s">
        <v>1065</v>
      </c>
      <c r="G386" s="3"/>
      <c r="K386" t="str">
        <f t="shared" si="12"/>
        <v/>
      </c>
      <c r="M386" s="3"/>
      <c r="N386" s="3"/>
      <c r="O386" s="3"/>
      <c r="P386" s="3"/>
      <c r="Q386" s="3"/>
    </row>
    <row r="387" spans="1:17" x14ac:dyDescent="0.3">
      <c r="A387" t="s">
        <v>1066</v>
      </c>
      <c r="B387" s="6" t="s">
        <v>11</v>
      </c>
      <c r="C387" s="6" t="s">
        <v>1067</v>
      </c>
      <c r="D387" s="6"/>
      <c r="E387" s="6"/>
      <c r="F387" s="6" t="s">
        <v>1068</v>
      </c>
      <c r="G387" s="6"/>
      <c r="K387" t="str">
        <f t="shared" si="12"/>
        <v/>
      </c>
      <c r="M387" s="6"/>
      <c r="N387" s="6"/>
      <c r="O387" s="6"/>
      <c r="P387" s="6"/>
      <c r="Q387" s="6"/>
    </row>
    <row r="388" spans="1:17" x14ac:dyDescent="0.3">
      <c r="A388" t="s">
        <v>1066</v>
      </c>
      <c r="B388" s="20" t="s">
        <v>11</v>
      </c>
      <c r="C388" s="20" t="s">
        <v>1069</v>
      </c>
      <c r="D388" s="21" t="s">
        <v>1044</v>
      </c>
      <c r="E388" s="10">
        <v>10</v>
      </c>
      <c r="F388" s="10" t="s">
        <v>1070</v>
      </c>
      <c r="G388" s="24"/>
      <c r="K388" t="str">
        <f t="shared" si="12"/>
        <v>30HHL50AA001</v>
      </c>
      <c r="M388" s="20">
        <v>30</v>
      </c>
      <c r="N388" s="20" t="s">
        <v>1042</v>
      </c>
      <c r="O388" s="21" t="s">
        <v>415</v>
      </c>
      <c r="P388" s="21" t="s">
        <v>540</v>
      </c>
      <c r="Q388" s="21" t="s">
        <v>48</v>
      </c>
    </row>
    <row r="389" spans="1:17" x14ac:dyDescent="0.3">
      <c r="A389" t="s">
        <v>1066</v>
      </c>
      <c r="B389" s="20" t="s">
        <v>11</v>
      </c>
      <c r="C389" s="20" t="s">
        <v>1071</v>
      </c>
      <c r="D389" s="21" t="s">
        <v>1044</v>
      </c>
      <c r="E389" s="23">
        <v>6</v>
      </c>
      <c r="F389" s="23" t="s">
        <v>1072</v>
      </c>
      <c r="G389" s="24"/>
      <c r="K389" t="str">
        <f t="shared" si="12"/>
        <v>30HHL50AA001</v>
      </c>
      <c r="M389" s="20">
        <v>30</v>
      </c>
      <c r="N389" s="20" t="s">
        <v>1042</v>
      </c>
      <c r="O389" s="21" t="s">
        <v>415</v>
      </c>
      <c r="P389" s="21" t="s">
        <v>540</v>
      </c>
      <c r="Q389" s="21" t="s">
        <v>48</v>
      </c>
    </row>
    <row r="390" spans="1:17" x14ac:dyDescent="0.3">
      <c r="A390" s="4" t="s">
        <v>1073</v>
      </c>
      <c r="B390" s="3" t="s">
        <v>11</v>
      </c>
      <c r="C390" s="3" t="s">
        <v>1074</v>
      </c>
      <c r="D390" s="3"/>
      <c r="E390" s="3"/>
      <c r="F390" s="3" t="s">
        <v>1075</v>
      </c>
      <c r="G390" s="3"/>
      <c r="K390" t="str">
        <f t="shared" si="12"/>
        <v/>
      </c>
      <c r="M390" s="3"/>
      <c r="N390" s="3"/>
      <c r="O390" s="3"/>
      <c r="P390" s="3"/>
      <c r="Q390" s="3"/>
    </row>
    <row r="391" spans="1:17" x14ac:dyDescent="0.3">
      <c r="A391" t="s">
        <v>1076</v>
      </c>
      <c r="B391" s="20" t="s">
        <v>11</v>
      </c>
      <c r="C391" s="20" t="s">
        <v>1077</v>
      </c>
      <c r="D391" s="21" t="s">
        <v>557</v>
      </c>
      <c r="E391" s="10">
        <v>13</v>
      </c>
      <c r="F391" s="10" t="s">
        <v>1078</v>
      </c>
      <c r="G391" s="24"/>
      <c r="K391" t="str">
        <f t="shared" si="12"/>
        <v>30HHL70AA001</v>
      </c>
      <c r="M391" s="20">
        <v>30</v>
      </c>
      <c r="N391" s="20" t="s">
        <v>1042</v>
      </c>
      <c r="O391" s="21" t="s">
        <v>854</v>
      </c>
      <c r="P391" s="21" t="s">
        <v>540</v>
      </c>
      <c r="Q391" s="21" t="s">
        <v>48</v>
      </c>
    </row>
    <row r="392" spans="1:17" x14ac:dyDescent="0.3">
      <c r="A392" t="s">
        <v>1079</v>
      </c>
      <c r="B392" s="13" t="s">
        <v>38</v>
      </c>
      <c r="C392" s="13" t="s">
        <v>1082</v>
      </c>
      <c r="D392" s="14" t="s">
        <v>1083</v>
      </c>
      <c r="E392" s="16">
        <v>2</v>
      </c>
      <c r="F392" s="16" t="s">
        <v>22</v>
      </c>
      <c r="G392" s="17"/>
      <c r="K392" t="str">
        <f t="shared" si="12"/>
        <v>30HHW08AN001</v>
      </c>
      <c r="M392" s="13">
        <v>30</v>
      </c>
      <c r="N392" s="13" t="s">
        <v>1080</v>
      </c>
      <c r="O392" s="14" t="s">
        <v>1081</v>
      </c>
      <c r="P392" s="13" t="s">
        <v>273</v>
      </c>
      <c r="Q392" s="14" t="s">
        <v>48</v>
      </c>
    </row>
    <row r="393" spans="1:17" x14ac:dyDescent="0.3">
      <c r="A393" s="4" t="s">
        <v>1084</v>
      </c>
      <c r="B393" s="3" t="s">
        <v>11</v>
      </c>
      <c r="C393" s="3" t="s">
        <v>1085</v>
      </c>
      <c r="D393" s="3"/>
      <c r="E393" s="3"/>
      <c r="F393" s="3" t="s">
        <v>1086</v>
      </c>
      <c r="G393" s="3"/>
      <c r="K393" t="str">
        <f t="shared" si="12"/>
        <v/>
      </c>
      <c r="M393" s="3"/>
      <c r="N393" s="3"/>
      <c r="O393" s="3"/>
      <c r="P393" s="3"/>
      <c r="Q393" s="3"/>
    </row>
    <row r="394" spans="1:17" x14ac:dyDescent="0.3">
      <c r="A394" t="s">
        <v>1084</v>
      </c>
      <c r="B394" s="20" t="s">
        <v>11</v>
      </c>
      <c r="C394" s="20" t="s">
        <v>1087</v>
      </c>
      <c r="D394" s="21" t="s">
        <v>1044</v>
      </c>
      <c r="E394" s="10">
        <v>11</v>
      </c>
      <c r="F394" s="10" t="s">
        <v>1088</v>
      </c>
      <c r="G394" s="24"/>
      <c r="K394" t="str">
        <f t="shared" si="12"/>
        <v>30HHW20AM001</v>
      </c>
      <c r="M394" s="20">
        <v>30</v>
      </c>
      <c r="N394" s="20" t="s">
        <v>1080</v>
      </c>
      <c r="O394" s="21" t="s">
        <v>64</v>
      </c>
      <c r="P394" s="21" t="s">
        <v>394</v>
      </c>
      <c r="Q394" s="21" t="s">
        <v>48</v>
      </c>
    </row>
    <row r="395" spans="1:17" x14ac:dyDescent="0.3">
      <c r="A395" t="s">
        <v>1089</v>
      </c>
      <c r="B395" s="6" t="s">
        <v>11</v>
      </c>
      <c r="C395" s="6" t="s">
        <v>1090</v>
      </c>
      <c r="D395" s="6"/>
      <c r="E395" s="6"/>
      <c r="F395" s="6" t="s">
        <v>926</v>
      </c>
      <c r="G395" s="6"/>
      <c r="K395" t="str">
        <f t="shared" si="12"/>
        <v/>
      </c>
      <c r="M395" s="6"/>
      <c r="N395" s="6"/>
      <c r="O395" s="6"/>
      <c r="P395" s="6"/>
      <c r="Q395" s="6"/>
    </row>
    <row r="396" spans="1:17" x14ac:dyDescent="0.3">
      <c r="A396" t="s">
        <v>1089</v>
      </c>
      <c r="B396" s="20" t="s">
        <v>11</v>
      </c>
      <c r="C396" s="20" t="s">
        <v>1091</v>
      </c>
      <c r="D396" s="21" t="s">
        <v>1044</v>
      </c>
      <c r="E396" s="10">
        <v>11</v>
      </c>
      <c r="F396" s="10" t="s">
        <v>928</v>
      </c>
      <c r="G396" s="24"/>
      <c r="K396" t="str">
        <f t="shared" si="12"/>
        <v>30HHW30AM001</v>
      </c>
      <c r="M396" s="20">
        <v>30</v>
      </c>
      <c r="N396" s="20" t="s">
        <v>1080</v>
      </c>
      <c r="O396" s="21" t="s">
        <v>37</v>
      </c>
      <c r="P396" s="21" t="s">
        <v>394</v>
      </c>
      <c r="Q396" s="21" t="s">
        <v>48</v>
      </c>
    </row>
    <row r="397" spans="1:17" x14ac:dyDescent="0.3">
      <c r="A397" s="4" t="s">
        <v>1092</v>
      </c>
      <c r="B397" s="3" t="s">
        <v>11</v>
      </c>
      <c r="C397" s="3" t="s">
        <v>1093</v>
      </c>
      <c r="D397" s="3"/>
      <c r="E397" s="3"/>
      <c r="F397" s="3" t="s">
        <v>1094</v>
      </c>
      <c r="G397" s="3"/>
      <c r="K397" t="str">
        <f t="shared" si="12"/>
        <v/>
      </c>
      <c r="M397" s="3"/>
      <c r="N397" s="3"/>
      <c r="O397" s="3"/>
      <c r="P397" s="3"/>
      <c r="Q397" s="3"/>
    </row>
    <row r="398" spans="1:17" x14ac:dyDescent="0.3">
      <c r="A398" t="s">
        <v>1092</v>
      </c>
      <c r="B398" s="20" t="s">
        <v>11</v>
      </c>
      <c r="C398" s="20" t="s">
        <v>1095</v>
      </c>
      <c r="D398" s="21" t="s">
        <v>1044</v>
      </c>
      <c r="E398" s="10">
        <v>11</v>
      </c>
      <c r="F398" s="10" t="s">
        <v>1096</v>
      </c>
      <c r="G398" s="24"/>
      <c r="K398" t="str">
        <f t="shared" si="12"/>
        <v>30HHW50AM001</v>
      </c>
      <c r="M398" s="20">
        <v>30</v>
      </c>
      <c r="N398" s="20" t="s">
        <v>1080</v>
      </c>
      <c r="O398" s="21" t="s">
        <v>415</v>
      </c>
      <c r="P398" s="21" t="s">
        <v>394</v>
      </c>
      <c r="Q398" s="21" t="s">
        <v>48</v>
      </c>
    </row>
    <row r="399" spans="1:17" x14ac:dyDescent="0.3">
      <c r="A399" t="s">
        <v>1097</v>
      </c>
      <c r="B399" s="6" t="s">
        <v>11</v>
      </c>
      <c r="C399" s="6" t="s">
        <v>1098</v>
      </c>
      <c r="D399" s="6"/>
      <c r="E399" s="6"/>
      <c r="F399" s="6" t="s">
        <v>933</v>
      </c>
      <c r="G399" s="6"/>
      <c r="K399" t="str">
        <f t="shared" si="12"/>
        <v/>
      </c>
      <c r="M399" s="6"/>
      <c r="N399" s="6"/>
      <c r="O399" s="6"/>
      <c r="P399" s="6"/>
      <c r="Q399" s="6"/>
    </row>
    <row r="400" spans="1:17" x14ac:dyDescent="0.3">
      <c r="A400" t="s">
        <v>1097</v>
      </c>
      <c r="B400" s="20" t="s">
        <v>11</v>
      </c>
      <c r="C400" s="20" t="s">
        <v>1099</v>
      </c>
      <c r="D400" s="21" t="s">
        <v>1044</v>
      </c>
      <c r="E400" s="10">
        <v>12</v>
      </c>
      <c r="F400" s="10" t="s">
        <v>935</v>
      </c>
      <c r="G400" s="24"/>
      <c r="K400" t="str">
        <f t="shared" si="12"/>
        <v>30HHW40AM001</v>
      </c>
      <c r="M400" s="20">
        <v>30</v>
      </c>
      <c r="N400" s="20" t="s">
        <v>1080</v>
      </c>
      <c r="O400" s="21" t="s">
        <v>120</v>
      </c>
      <c r="P400" s="21" t="s">
        <v>394</v>
      </c>
      <c r="Q400" s="21" t="s">
        <v>48</v>
      </c>
    </row>
    <row r="401" spans="1:17" x14ac:dyDescent="0.3">
      <c r="A401" t="s">
        <v>1036</v>
      </c>
      <c r="B401" s="13" t="s">
        <v>38</v>
      </c>
      <c r="C401" s="13" t="s">
        <v>1100</v>
      </c>
      <c r="D401" s="14" t="s">
        <v>942</v>
      </c>
      <c r="E401" s="16"/>
      <c r="F401" s="16"/>
      <c r="G401" s="17"/>
      <c r="K401" t="str">
        <f t="shared" si="12"/>
        <v>30HHX06AP001</v>
      </c>
      <c r="M401" s="13">
        <v>30</v>
      </c>
      <c r="N401" s="13" t="s">
        <v>944</v>
      </c>
      <c r="O401" s="14" t="s">
        <v>505</v>
      </c>
      <c r="P401" s="13" t="s">
        <v>399</v>
      </c>
      <c r="Q401" s="14" t="s">
        <v>48</v>
      </c>
    </row>
    <row r="402" spans="1:17" x14ac:dyDescent="0.3">
      <c r="A402" t="s">
        <v>1101</v>
      </c>
      <c r="B402" s="13" t="s">
        <v>38</v>
      </c>
      <c r="C402" s="13" t="s">
        <v>1103</v>
      </c>
      <c r="D402" s="14"/>
      <c r="E402" s="16"/>
      <c r="F402" s="16"/>
      <c r="G402" s="17"/>
      <c r="K402" t="str">
        <f t="shared" si="12"/>
        <v>30HHY10GH001</v>
      </c>
      <c r="M402" s="13">
        <v>30</v>
      </c>
      <c r="N402" s="13" t="s">
        <v>1102</v>
      </c>
      <c r="O402" s="14" t="s">
        <v>46</v>
      </c>
      <c r="P402" s="13" t="s">
        <v>190</v>
      </c>
      <c r="Q402" s="14" t="s">
        <v>48</v>
      </c>
    </row>
    <row r="403" spans="1:17" x14ac:dyDescent="0.3">
      <c r="A403" t="s">
        <v>1104</v>
      </c>
      <c r="B403" s="13" t="s">
        <v>38</v>
      </c>
      <c r="C403" s="13" t="s">
        <v>1105</v>
      </c>
      <c r="D403" s="14"/>
      <c r="E403" s="16">
        <v>2</v>
      </c>
      <c r="F403" s="16" t="s">
        <v>450</v>
      </c>
      <c r="G403" s="17"/>
      <c r="K403" t="str">
        <f t="shared" si="12"/>
        <v/>
      </c>
      <c r="M403" s="13"/>
      <c r="N403" s="13"/>
      <c r="O403" s="14"/>
      <c r="P403" s="13"/>
      <c r="Q403" s="14"/>
    </row>
    <row r="404" spans="1:17" x14ac:dyDescent="0.3">
      <c r="A404" t="s">
        <v>1106</v>
      </c>
      <c r="B404" s="13" t="s">
        <v>38</v>
      </c>
      <c r="C404" s="13" t="s">
        <v>1108</v>
      </c>
      <c r="D404" s="14" t="s">
        <v>1109</v>
      </c>
      <c r="E404" s="16"/>
      <c r="F404" s="16"/>
      <c r="G404" s="17"/>
      <c r="K404" t="str">
        <f t="shared" si="12"/>
        <v>30HLA15AA001</v>
      </c>
      <c r="M404" s="13">
        <v>30</v>
      </c>
      <c r="N404" s="13" t="s">
        <v>1107</v>
      </c>
      <c r="O404" s="14" t="s">
        <v>714</v>
      </c>
      <c r="P404" s="13" t="s">
        <v>540</v>
      </c>
      <c r="Q404" s="14" t="s">
        <v>48</v>
      </c>
    </row>
    <row r="405" spans="1:17" x14ac:dyDescent="0.3">
      <c r="A405" t="s">
        <v>1110</v>
      </c>
      <c r="B405" s="13" t="s">
        <v>38</v>
      </c>
      <c r="C405" s="13" t="s">
        <v>1111</v>
      </c>
      <c r="D405" s="14" t="s">
        <v>1109</v>
      </c>
      <c r="E405" s="16"/>
      <c r="F405" s="16"/>
      <c r="G405" s="17"/>
      <c r="K405" t="str">
        <f t="shared" si="12"/>
        <v>30HLA15AA003</v>
      </c>
      <c r="M405" s="13">
        <v>30</v>
      </c>
      <c r="N405" s="13" t="s">
        <v>1107</v>
      </c>
      <c r="O405" s="14" t="s">
        <v>714</v>
      </c>
      <c r="P405" s="13" t="s">
        <v>540</v>
      </c>
      <c r="Q405" s="14" t="s">
        <v>317</v>
      </c>
    </row>
    <row r="406" spans="1:17" x14ac:dyDescent="0.3">
      <c r="A406" t="s">
        <v>1112</v>
      </c>
      <c r="B406" s="13" t="s">
        <v>38</v>
      </c>
      <c r="C406" s="13" t="s">
        <v>1113</v>
      </c>
      <c r="D406" s="14" t="s">
        <v>1109</v>
      </c>
      <c r="E406" s="16"/>
      <c r="F406" s="16"/>
      <c r="G406" s="17"/>
      <c r="K406" t="str">
        <f t="shared" si="12"/>
        <v>30HLA20AA001</v>
      </c>
      <c r="M406" s="13">
        <v>30</v>
      </c>
      <c r="N406" s="13" t="s">
        <v>1107</v>
      </c>
      <c r="O406" s="14" t="s">
        <v>64</v>
      </c>
      <c r="P406" s="13" t="s">
        <v>540</v>
      </c>
      <c r="Q406" s="14" t="s">
        <v>48</v>
      </c>
    </row>
    <row r="407" spans="1:17" x14ac:dyDescent="0.3">
      <c r="A407" t="s">
        <v>1114</v>
      </c>
      <c r="B407" s="13" t="s">
        <v>38</v>
      </c>
      <c r="C407" s="13" t="s">
        <v>1115</v>
      </c>
      <c r="D407" s="14" t="s">
        <v>1109</v>
      </c>
      <c r="E407" s="16"/>
      <c r="F407" s="16"/>
      <c r="G407" s="17"/>
      <c r="K407" t="str">
        <f t="shared" si="12"/>
        <v>30HLA20AA002</v>
      </c>
      <c r="M407" s="13">
        <v>30</v>
      </c>
      <c r="N407" s="13" t="s">
        <v>1107</v>
      </c>
      <c r="O407" s="14" t="s">
        <v>64</v>
      </c>
      <c r="P407" s="13" t="s">
        <v>540</v>
      </c>
      <c r="Q407" s="14" t="s">
        <v>233</v>
      </c>
    </row>
    <row r="408" spans="1:17" x14ac:dyDescent="0.3">
      <c r="A408" t="s">
        <v>1116</v>
      </c>
      <c r="B408" s="13" t="s">
        <v>38</v>
      </c>
      <c r="C408" s="13" t="s">
        <v>1117</v>
      </c>
      <c r="D408" s="14" t="s">
        <v>1109</v>
      </c>
      <c r="E408" s="16"/>
      <c r="F408" s="16"/>
      <c r="G408" s="17"/>
      <c r="K408" t="str">
        <f t="shared" si="12"/>
        <v>30HLA20AA003</v>
      </c>
      <c r="M408" s="13">
        <v>30</v>
      </c>
      <c r="N408" s="13" t="s">
        <v>1107</v>
      </c>
      <c r="O408" s="14" t="s">
        <v>64</v>
      </c>
      <c r="P408" s="13" t="s">
        <v>540</v>
      </c>
      <c r="Q408" s="14" t="s">
        <v>317</v>
      </c>
    </row>
    <row r="409" spans="1:17" x14ac:dyDescent="0.3">
      <c r="A409" t="s">
        <v>1118</v>
      </c>
      <c r="B409" s="13" t="s">
        <v>38</v>
      </c>
      <c r="C409" s="13" t="s">
        <v>1119</v>
      </c>
      <c r="D409" s="14" t="s">
        <v>1120</v>
      </c>
      <c r="E409" s="16"/>
      <c r="F409" s="16"/>
      <c r="G409" s="17"/>
      <c r="K409" t="str">
        <f t="shared" si="12"/>
        <v>30HLA30AA001</v>
      </c>
      <c r="M409" s="13">
        <v>30</v>
      </c>
      <c r="N409" s="13" t="s">
        <v>1107</v>
      </c>
      <c r="O409" s="14" t="s">
        <v>37</v>
      </c>
      <c r="P409" s="13" t="s">
        <v>540</v>
      </c>
      <c r="Q409" s="14" t="s">
        <v>48</v>
      </c>
    </row>
    <row r="410" spans="1:17" x14ac:dyDescent="0.3">
      <c r="A410" t="s">
        <v>1121</v>
      </c>
      <c r="B410" s="13" t="s">
        <v>38</v>
      </c>
      <c r="C410" s="13" t="s">
        <v>1122</v>
      </c>
      <c r="D410" s="14" t="s">
        <v>1123</v>
      </c>
      <c r="E410" s="16"/>
      <c r="F410" s="16"/>
      <c r="G410" s="17"/>
      <c r="K410" t="str">
        <f t="shared" si="12"/>
        <v>30HLA40AA001</v>
      </c>
      <c r="M410" s="13">
        <v>30</v>
      </c>
      <c r="N410" s="13" t="s">
        <v>1107</v>
      </c>
      <c r="O410" s="14" t="s">
        <v>120</v>
      </c>
      <c r="P410" s="13" t="s">
        <v>540</v>
      </c>
      <c r="Q410" s="14" t="s">
        <v>48</v>
      </c>
    </row>
    <row r="411" spans="1:17" x14ac:dyDescent="0.3">
      <c r="A411" s="64" t="s">
        <v>1124</v>
      </c>
      <c r="B411" s="65" t="s">
        <v>16</v>
      </c>
      <c r="C411" s="65" t="s">
        <v>1125</v>
      </c>
      <c r="D411" s="66"/>
      <c r="E411" s="67">
        <v>3</v>
      </c>
      <c r="F411" s="67" t="s">
        <v>1126</v>
      </c>
      <c r="G411" s="68"/>
      <c r="M411" s="65"/>
      <c r="N411" s="65"/>
      <c r="O411" s="65"/>
      <c r="P411" s="65"/>
      <c r="Q411" s="66"/>
    </row>
    <row r="412" spans="1:17" x14ac:dyDescent="0.3">
      <c r="A412" s="64" t="s">
        <v>1127</v>
      </c>
      <c r="B412" s="65" t="s">
        <v>16</v>
      </c>
      <c r="C412" s="65" t="s">
        <v>1128</v>
      </c>
      <c r="D412" s="66"/>
      <c r="E412" s="67">
        <v>3</v>
      </c>
      <c r="F412" s="69" t="s">
        <v>884</v>
      </c>
      <c r="G412" s="68"/>
      <c r="M412" s="65"/>
      <c r="N412" s="65"/>
      <c r="O412" s="65"/>
      <c r="P412" s="65"/>
      <c r="Q412" s="66"/>
    </row>
    <row r="413" spans="1:17" x14ac:dyDescent="0.3">
      <c r="A413" s="64" t="s">
        <v>1127</v>
      </c>
      <c r="B413" s="65" t="s">
        <v>16</v>
      </c>
      <c r="C413" s="65" t="s">
        <v>1129</v>
      </c>
      <c r="D413" s="66" t="s">
        <v>1130</v>
      </c>
      <c r="E413" s="67">
        <v>3</v>
      </c>
      <c r="F413" s="69" t="s">
        <v>221</v>
      </c>
      <c r="G413" s="68"/>
      <c r="M413" s="65">
        <v>30</v>
      </c>
      <c r="N413" s="65" t="s">
        <v>1107</v>
      </c>
      <c r="O413" s="66" t="s">
        <v>1019</v>
      </c>
      <c r="P413" s="65" t="s">
        <v>209</v>
      </c>
      <c r="Q413" s="66" t="s">
        <v>48</v>
      </c>
    </row>
    <row r="414" spans="1:17" x14ac:dyDescent="0.3">
      <c r="A414" s="64" t="s">
        <v>1131</v>
      </c>
      <c r="B414" s="65" t="s">
        <v>16</v>
      </c>
      <c r="C414" s="65" t="s">
        <v>1132</v>
      </c>
      <c r="D414" s="66" t="s">
        <v>1130</v>
      </c>
      <c r="E414" s="67">
        <v>2</v>
      </c>
      <c r="F414" s="67" t="s">
        <v>192</v>
      </c>
      <c r="G414" s="68"/>
      <c r="M414" s="65">
        <v>30</v>
      </c>
      <c r="N414" s="65" t="s">
        <v>1107</v>
      </c>
      <c r="O414" s="66" t="s">
        <v>1019</v>
      </c>
      <c r="P414" s="65" t="s">
        <v>209</v>
      </c>
      <c r="Q414" s="66" t="s">
        <v>233</v>
      </c>
    </row>
    <row r="415" spans="1:17" x14ac:dyDescent="0.3">
      <c r="A415" s="70" t="s">
        <v>1133</v>
      </c>
      <c r="B415" s="71" t="s">
        <v>16</v>
      </c>
      <c r="C415" s="71" t="s">
        <v>1134</v>
      </c>
      <c r="D415" s="71"/>
      <c r="E415" s="71"/>
      <c r="F415" s="71" t="s">
        <v>1135</v>
      </c>
      <c r="G415" s="72"/>
      <c r="M415" s="71"/>
      <c r="N415" s="71"/>
      <c r="O415" s="71"/>
      <c r="P415" s="71"/>
      <c r="Q415" s="71"/>
    </row>
    <row r="416" spans="1:17" x14ac:dyDescent="0.3">
      <c r="A416" s="73" t="s">
        <v>1136</v>
      </c>
      <c r="B416" s="66" t="s">
        <v>49</v>
      </c>
      <c r="C416" s="65" t="s">
        <v>1138</v>
      </c>
      <c r="D416" s="66" t="s">
        <v>1139</v>
      </c>
      <c r="E416" s="67">
        <v>2</v>
      </c>
      <c r="F416" s="67" t="s">
        <v>178</v>
      </c>
      <c r="G416" s="68"/>
      <c r="M416" s="65">
        <v>30</v>
      </c>
      <c r="N416" s="65" t="s">
        <v>1107</v>
      </c>
      <c r="O416" s="66" t="s">
        <v>1137</v>
      </c>
      <c r="P416" s="65" t="s">
        <v>273</v>
      </c>
      <c r="Q416" s="66" t="s">
        <v>48</v>
      </c>
    </row>
    <row r="417" spans="1:17" x14ac:dyDescent="0.3">
      <c r="A417" s="64" t="s">
        <v>1136</v>
      </c>
      <c r="B417" s="74"/>
      <c r="C417" s="74" t="s">
        <v>1140</v>
      </c>
      <c r="D417" s="74"/>
      <c r="E417" s="74"/>
      <c r="F417" s="74"/>
      <c r="G417" s="75" t="s">
        <v>1141</v>
      </c>
      <c r="M417" s="74"/>
      <c r="N417" s="74"/>
      <c r="O417" s="74"/>
      <c r="P417" s="74"/>
      <c r="Q417" s="74"/>
    </row>
    <row r="418" spans="1:17" x14ac:dyDescent="0.3">
      <c r="A418" s="70" t="s">
        <v>1142</v>
      </c>
      <c r="B418" s="71"/>
      <c r="C418" s="71" t="s">
        <v>1143</v>
      </c>
      <c r="D418" s="71"/>
      <c r="E418" s="71"/>
      <c r="F418" s="71"/>
      <c r="G418" s="72" t="s">
        <v>1144</v>
      </c>
      <c r="M418" s="71"/>
      <c r="N418" s="71"/>
      <c r="O418" s="71"/>
      <c r="P418" s="71"/>
      <c r="Q418" s="71"/>
    </row>
    <row r="419" spans="1:17" x14ac:dyDescent="0.3">
      <c r="A419" s="64" t="s">
        <v>1145</v>
      </c>
      <c r="B419" s="74"/>
      <c r="C419" s="74" t="s">
        <v>1146</v>
      </c>
      <c r="D419" s="74"/>
      <c r="E419" s="74"/>
      <c r="F419" s="74"/>
      <c r="G419" s="75" t="s">
        <v>1144</v>
      </c>
      <c r="M419" s="74"/>
      <c r="N419" s="74"/>
      <c r="O419" s="74"/>
      <c r="P419" s="74"/>
      <c r="Q419" s="74"/>
    </row>
    <row r="420" spans="1:17" x14ac:dyDescent="0.3">
      <c r="A420" s="73" t="s">
        <v>1147</v>
      </c>
      <c r="B420" s="66" t="s">
        <v>49</v>
      </c>
      <c r="C420" s="65" t="s">
        <v>1149</v>
      </c>
      <c r="D420" s="66" t="s">
        <v>1120</v>
      </c>
      <c r="E420" s="67">
        <v>3</v>
      </c>
      <c r="F420" s="67" t="s">
        <v>174</v>
      </c>
      <c r="G420" s="68"/>
      <c r="M420" s="65">
        <v>30</v>
      </c>
      <c r="N420" s="65" t="s">
        <v>1148</v>
      </c>
      <c r="O420" s="66" t="s">
        <v>37</v>
      </c>
      <c r="P420" s="65" t="s">
        <v>47</v>
      </c>
      <c r="Q420" s="66" t="s">
        <v>82</v>
      </c>
    </row>
    <row r="421" spans="1:17" x14ac:dyDescent="0.3">
      <c r="A421" s="70" t="s">
        <v>1150</v>
      </c>
      <c r="B421" s="71"/>
      <c r="C421" s="71" t="s">
        <v>1151</v>
      </c>
      <c r="D421" s="71"/>
      <c r="E421" s="71"/>
      <c r="F421" s="71"/>
      <c r="G421" s="72" t="s">
        <v>198</v>
      </c>
      <c r="M421" s="71"/>
      <c r="N421" s="71"/>
      <c r="O421" s="71"/>
      <c r="P421" s="71"/>
      <c r="Q421" s="71"/>
    </row>
    <row r="422" spans="1:17" x14ac:dyDescent="0.3">
      <c r="A422" s="64" t="s">
        <v>1152</v>
      </c>
      <c r="B422" s="74"/>
      <c r="C422" s="74" t="s">
        <v>1153</v>
      </c>
      <c r="D422" s="74"/>
      <c r="E422" s="74"/>
      <c r="F422" s="74"/>
      <c r="G422" s="75" t="s">
        <v>1154</v>
      </c>
      <c r="M422" s="74"/>
      <c r="N422" s="74"/>
      <c r="O422" s="74"/>
      <c r="P422" s="74"/>
      <c r="Q422" s="74"/>
    </row>
    <row r="423" spans="1:17" x14ac:dyDescent="0.3">
      <c r="A423" s="73" t="s">
        <v>1152</v>
      </c>
      <c r="B423" s="66" t="s">
        <v>49</v>
      </c>
      <c r="C423" s="65" t="s">
        <v>1156</v>
      </c>
      <c r="D423" s="66"/>
      <c r="E423" s="67">
        <v>7</v>
      </c>
      <c r="F423" s="67" t="s">
        <v>92</v>
      </c>
      <c r="G423" s="68"/>
      <c r="M423" s="65">
        <v>30</v>
      </c>
      <c r="N423" s="65" t="s">
        <v>1155</v>
      </c>
      <c r="O423" s="66" t="s">
        <v>46</v>
      </c>
      <c r="P423" s="65" t="s">
        <v>684</v>
      </c>
      <c r="Q423" s="66" t="s">
        <v>48</v>
      </c>
    </row>
    <row r="424" spans="1:17" x14ac:dyDescent="0.3">
      <c r="A424" s="64" t="s">
        <v>1157</v>
      </c>
      <c r="B424" s="76" t="s">
        <v>38</v>
      </c>
      <c r="C424" s="76" t="s">
        <v>1159</v>
      </c>
      <c r="D424" s="77" t="s">
        <v>1123</v>
      </c>
      <c r="E424" s="78"/>
      <c r="F424" s="78"/>
      <c r="G424" s="79"/>
      <c r="M424" s="76">
        <v>30</v>
      </c>
      <c r="N424" s="76" t="s">
        <v>1158</v>
      </c>
      <c r="O424" s="77" t="s">
        <v>46</v>
      </c>
      <c r="P424" s="76" t="s">
        <v>540</v>
      </c>
      <c r="Q424" s="77" t="s">
        <v>48</v>
      </c>
    </row>
    <row r="425" spans="1:17" x14ac:dyDescent="0.3">
      <c r="A425" s="64" t="s">
        <v>1160</v>
      </c>
      <c r="B425" s="76" t="s">
        <v>38</v>
      </c>
      <c r="C425" s="76" t="s">
        <v>1161</v>
      </c>
      <c r="D425" s="77" t="s">
        <v>1123</v>
      </c>
      <c r="E425" s="78"/>
      <c r="F425" s="78"/>
      <c r="G425" s="79"/>
      <c r="M425" s="76">
        <v>30</v>
      </c>
      <c r="N425" s="76" t="s">
        <v>1158</v>
      </c>
      <c r="O425" s="77" t="s">
        <v>46</v>
      </c>
      <c r="P425" s="76" t="s">
        <v>540</v>
      </c>
      <c r="Q425" s="77" t="s">
        <v>317</v>
      </c>
    </row>
    <row r="426" spans="1:17" x14ac:dyDescent="0.3">
      <c r="A426" s="64" t="s">
        <v>1162</v>
      </c>
      <c r="B426" s="76" t="s">
        <v>38</v>
      </c>
      <c r="C426" s="76" t="s">
        <v>1164</v>
      </c>
      <c r="D426" s="77" t="s">
        <v>1123</v>
      </c>
      <c r="E426" s="78"/>
      <c r="F426" s="78"/>
      <c r="G426" s="79"/>
      <c r="M426" s="76">
        <v>30</v>
      </c>
      <c r="N426" s="76" t="s">
        <v>1158</v>
      </c>
      <c r="O426" s="77" t="s">
        <v>46</v>
      </c>
      <c r="P426" s="76" t="s">
        <v>1163</v>
      </c>
      <c r="Q426" s="77" t="s">
        <v>48</v>
      </c>
    </row>
    <row r="427" spans="1:17" x14ac:dyDescent="0.3">
      <c r="A427" s="64" t="s">
        <v>1165</v>
      </c>
      <c r="B427" s="76" t="s">
        <v>38</v>
      </c>
      <c r="C427" s="76" t="s">
        <v>1166</v>
      </c>
      <c r="D427" s="77" t="s">
        <v>1123</v>
      </c>
      <c r="E427" s="78"/>
      <c r="F427" s="78"/>
      <c r="G427" s="79"/>
      <c r="M427" s="76">
        <v>30</v>
      </c>
      <c r="N427" s="76" t="s">
        <v>1158</v>
      </c>
      <c r="O427" s="77" t="s">
        <v>264</v>
      </c>
      <c r="P427" s="76" t="s">
        <v>1163</v>
      </c>
      <c r="Q427" s="77" t="s">
        <v>48</v>
      </c>
    </row>
    <row r="428" spans="1:17" x14ac:dyDescent="0.3">
      <c r="A428" s="64" t="s">
        <v>1165</v>
      </c>
      <c r="B428" s="76" t="s">
        <v>38</v>
      </c>
      <c r="C428" s="76" t="s">
        <v>1167</v>
      </c>
      <c r="D428" s="77" t="s">
        <v>1123</v>
      </c>
      <c r="E428" s="78"/>
      <c r="F428" s="78"/>
      <c r="G428" s="79"/>
      <c r="M428" s="76">
        <v>30</v>
      </c>
      <c r="N428" s="76" t="s">
        <v>1158</v>
      </c>
      <c r="O428" s="77" t="s">
        <v>264</v>
      </c>
      <c r="P428" s="76" t="s">
        <v>1163</v>
      </c>
      <c r="Q428" s="77" t="s">
        <v>48</v>
      </c>
    </row>
    <row r="429" spans="1:17" x14ac:dyDescent="0.3">
      <c r="A429" s="64" t="s">
        <v>1165</v>
      </c>
      <c r="B429" s="76" t="s">
        <v>38</v>
      </c>
      <c r="C429" s="76" t="s">
        <v>1168</v>
      </c>
      <c r="D429" s="77" t="s">
        <v>1123</v>
      </c>
      <c r="E429" s="78"/>
      <c r="F429" s="78"/>
      <c r="G429" s="79"/>
      <c r="M429" s="76">
        <v>30</v>
      </c>
      <c r="N429" s="76" t="s">
        <v>1158</v>
      </c>
      <c r="O429" s="77" t="s">
        <v>264</v>
      </c>
      <c r="P429" s="76" t="s">
        <v>1163</v>
      </c>
      <c r="Q429" s="77" t="s">
        <v>48</v>
      </c>
    </row>
    <row r="430" spans="1:17" x14ac:dyDescent="0.3">
      <c r="A430" s="70" t="s">
        <v>1169</v>
      </c>
      <c r="B430" s="71"/>
      <c r="C430" s="71" t="s">
        <v>1170</v>
      </c>
      <c r="D430" s="71"/>
      <c r="E430" s="71"/>
      <c r="F430" s="71"/>
      <c r="G430" s="72" t="s">
        <v>1171</v>
      </c>
      <c r="M430" s="71"/>
      <c r="N430" s="71"/>
      <c r="O430" s="71"/>
      <c r="P430" s="71"/>
      <c r="Q430" s="71"/>
    </row>
    <row r="431" spans="1:17" x14ac:dyDescent="0.3">
      <c r="A431" s="80" t="s">
        <v>1172</v>
      </c>
      <c r="B431" s="82" t="s">
        <v>65</v>
      </c>
      <c r="C431" s="81" t="s">
        <v>1173</v>
      </c>
      <c r="D431" s="82" t="s">
        <v>1123</v>
      </c>
      <c r="E431" s="83">
        <v>9</v>
      </c>
      <c r="F431" s="83" t="s">
        <v>108</v>
      </c>
      <c r="G431" s="84"/>
      <c r="M431" s="81">
        <v>30</v>
      </c>
      <c r="N431" s="81" t="s">
        <v>1158</v>
      </c>
      <c r="O431" s="82" t="s">
        <v>120</v>
      </c>
      <c r="P431" s="81" t="s">
        <v>47</v>
      </c>
      <c r="Q431" s="82" t="s">
        <v>48</v>
      </c>
    </row>
    <row r="432" spans="1:17" x14ac:dyDescent="0.3">
      <c r="A432" s="64" t="s">
        <v>1174</v>
      </c>
      <c r="B432" s="76" t="s">
        <v>38</v>
      </c>
      <c r="C432" s="76" t="s">
        <v>1176</v>
      </c>
      <c r="D432" s="77" t="s">
        <v>1123</v>
      </c>
      <c r="E432" s="78">
        <v>2</v>
      </c>
      <c r="F432" s="78" t="s">
        <v>36</v>
      </c>
      <c r="G432" s="79"/>
      <c r="M432" s="76">
        <v>30</v>
      </c>
      <c r="N432" s="76" t="s">
        <v>1175</v>
      </c>
      <c r="O432" s="77" t="s">
        <v>46</v>
      </c>
      <c r="P432" s="76" t="s">
        <v>273</v>
      </c>
      <c r="Q432" s="77" t="s">
        <v>48</v>
      </c>
    </row>
    <row r="433" spans="1:17" x14ac:dyDescent="0.3">
      <c r="A433" s="64" t="s">
        <v>1177</v>
      </c>
      <c r="B433" s="76" t="s">
        <v>38</v>
      </c>
      <c r="C433" s="76" t="s">
        <v>1178</v>
      </c>
      <c r="D433" s="77" t="s">
        <v>1123</v>
      </c>
      <c r="E433" s="78"/>
      <c r="F433" s="78"/>
      <c r="G433" s="79"/>
      <c r="M433" s="76">
        <v>30</v>
      </c>
      <c r="N433" s="76" t="s">
        <v>1175</v>
      </c>
      <c r="O433" s="77" t="s">
        <v>46</v>
      </c>
      <c r="P433" s="76" t="s">
        <v>1163</v>
      </c>
      <c r="Q433" s="77" t="s">
        <v>48</v>
      </c>
    </row>
    <row r="434" spans="1:17" x14ac:dyDescent="0.3">
      <c r="A434" s="64" t="s">
        <v>1179</v>
      </c>
      <c r="B434" s="85" t="s">
        <v>8</v>
      </c>
      <c r="C434" s="85" t="s">
        <v>1180</v>
      </c>
      <c r="D434" s="86" t="s">
        <v>1181</v>
      </c>
      <c r="E434" s="87">
        <v>9</v>
      </c>
      <c r="F434" s="88" t="s">
        <v>1182</v>
      </c>
      <c r="G434" s="89"/>
      <c r="M434" s="85">
        <v>30</v>
      </c>
      <c r="N434" s="85" t="s">
        <v>1175</v>
      </c>
      <c r="O434" s="86" t="s">
        <v>46</v>
      </c>
      <c r="P434" s="85" t="s">
        <v>444</v>
      </c>
      <c r="Q434" s="86" t="s">
        <v>48</v>
      </c>
    </row>
    <row r="435" spans="1:17" x14ac:dyDescent="0.3">
      <c r="A435" s="70" t="s">
        <v>1179</v>
      </c>
      <c r="B435" s="71" t="s">
        <v>8</v>
      </c>
      <c r="C435" s="71" t="s">
        <v>1183</v>
      </c>
      <c r="D435" s="71"/>
      <c r="E435" s="71"/>
      <c r="F435" s="71" t="s">
        <v>1184</v>
      </c>
      <c r="G435" s="72"/>
      <c r="M435" s="71"/>
      <c r="N435" s="71"/>
      <c r="O435" s="71"/>
      <c r="P435" s="71"/>
      <c r="Q435" s="71"/>
    </row>
    <row r="436" spans="1:17" x14ac:dyDescent="0.3">
      <c r="A436" s="64" t="s">
        <v>1185</v>
      </c>
      <c r="B436" s="85" t="s">
        <v>8</v>
      </c>
      <c r="C436" s="85" t="s">
        <v>1186</v>
      </c>
      <c r="D436" s="86" t="s">
        <v>1181</v>
      </c>
      <c r="E436" s="87">
        <v>12</v>
      </c>
      <c r="F436" s="88" t="s">
        <v>831</v>
      </c>
      <c r="G436" s="89"/>
      <c r="M436" s="85">
        <v>30</v>
      </c>
      <c r="N436" s="85" t="s">
        <v>1175</v>
      </c>
      <c r="O436" s="86" t="s">
        <v>46</v>
      </c>
      <c r="P436" s="85" t="s">
        <v>273</v>
      </c>
      <c r="Q436" s="86" t="s">
        <v>48</v>
      </c>
    </row>
    <row r="437" spans="1:17" x14ac:dyDescent="0.3">
      <c r="A437" s="64" t="s">
        <v>1185</v>
      </c>
      <c r="B437" s="74" t="s">
        <v>8</v>
      </c>
      <c r="C437" s="74" t="s">
        <v>1187</v>
      </c>
      <c r="D437" s="74"/>
      <c r="E437" s="74"/>
      <c r="F437" s="74" t="s">
        <v>833</v>
      </c>
      <c r="G437" s="75"/>
      <c r="M437" s="74"/>
      <c r="N437" s="74"/>
      <c r="O437" s="74"/>
      <c r="P437" s="74"/>
      <c r="Q437" s="74"/>
    </row>
    <row r="438" spans="1:17" x14ac:dyDescent="0.3">
      <c r="A438" s="64" t="s">
        <v>1188</v>
      </c>
      <c r="B438" s="76" t="s">
        <v>38</v>
      </c>
      <c r="C438" s="76" t="s">
        <v>1189</v>
      </c>
      <c r="D438" s="77" t="s">
        <v>1123</v>
      </c>
      <c r="E438" s="78"/>
      <c r="F438" s="78"/>
      <c r="G438" s="79"/>
      <c r="M438" s="76">
        <v>30</v>
      </c>
      <c r="N438" s="76" t="s">
        <v>1175</v>
      </c>
      <c r="O438" s="77" t="s">
        <v>295</v>
      </c>
      <c r="P438" s="76" t="s">
        <v>1163</v>
      </c>
      <c r="Q438" s="77" t="s">
        <v>233</v>
      </c>
    </row>
    <row r="439" spans="1:17" x14ac:dyDescent="0.3">
      <c r="A439" s="64" t="s">
        <v>1190</v>
      </c>
      <c r="B439" s="76" t="s">
        <v>38</v>
      </c>
      <c r="C439" s="76" t="s">
        <v>1192</v>
      </c>
      <c r="D439" s="77" t="s">
        <v>1123</v>
      </c>
      <c r="E439" s="78"/>
      <c r="F439" s="78"/>
      <c r="G439" s="79"/>
      <c r="M439" s="76">
        <v>30</v>
      </c>
      <c r="N439" s="76" t="s">
        <v>1175</v>
      </c>
      <c r="O439" s="77" t="s">
        <v>1191</v>
      </c>
      <c r="P439" s="76" t="s">
        <v>1163</v>
      </c>
      <c r="Q439" s="77" t="s">
        <v>233</v>
      </c>
    </row>
    <row r="440" spans="1:17" x14ac:dyDescent="0.3">
      <c r="A440" s="64" t="s">
        <v>1193</v>
      </c>
      <c r="B440" s="76" t="s">
        <v>38</v>
      </c>
      <c r="C440" s="76" t="s">
        <v>1195</v>
      </c>
      <c r="D440" s="77" t="s">
        <v>1123</v>
      </c>
      <c r="E440" s="78"/>
      <c r="F440" s="78"/>
      <c r="G440" s="79"/>
      <c r="M440" s="76">
        <v>30</v>
      </c>
      <c r="N440" s="76" t="s">
        <v>1175</v>
      </c>
      <c r="O440" s="77" t="s">
        <v>1194</v>
      </c>
      <c r="P440" s="76" t="s">
        <v>1163</v>
      </c>
      <c r="Q440" s="77" t="s">
        <v>233</v>
      </c>
    </row>
    <row r="441" spans="1:17" x14ac:dyDescent="0.3">
      <c r="A441" s="70" t="s">
        <v>1196</v>
      </c>
      <c r="B441" s="71" t="s">
        <v>8</v>
      </c>
      <c r="C441" s="71" t="s">
        <v>1197</v>
      </c>
      <c r="D441" s="71"/>
      <c r="E441" s="71"/>
      <c r="F441" s="71" t="s">
        <v>1198</v>
      </c>
      <c r="G441" s="72"/>
      <c r="M441" s="71"/>
      <c r="N441" s="71"/>
      <c r="O441" s="71"/>
      <c r="P441" s="71"/>
      <c r="Q441" s="71"/>
    </row>
    <row r="442" spans="1:17" x14ac:dyDescent="0.3">
      <c r="A442" s="64" t="s">
        <v>1196</v>
      </c>
      <c r="B442" s="85" t="s">
        <v>8</v>
      </c>
      <c r="C442" s="85" t="s">
        <v>1200</v>
      </c>
      <c r="D442" s="86" t="s">
        <v>1201</v>
      </c>
      <c r="E442" s="90">
        <v>11</v>
      </c>
      <c r="F442" s="90" t="s">
        <v>1202</v>
      </c>
      <c r="G442" s="89"/>
      <c r="M442" s="85">
        <v>30</v>
      </c>
      <c r="N442" s="85" t="s">
        <v>1199</v>
      </c>
      <c r="O442" s="85">
        <v>12</v>
      </c>
      <c r="P442" s="85" t="s">
        <v>399</v>
      </c>
      <c r="Q442" s="86" t="s">
        <v>82</v>
      </c>
    </row>
    <row r="443" spans="1:17" x14ac:dyDescent="0.3">
      <c r="A443" s="64" t="s">
        <v>1203</v>
      </c>
      <c r="B443" s="74" t="s">
        <v>8</v>
      </c>
      <c r="C443" s="74" t="s">
        <v>1204</v>
      </c>
      <c r="D443" s="74"/>
      <c r="E443" s="74"/>
      <c r="F443" s="74" t="s">
        <v>804</v>
      </c>
      <c r="G443" s="75"/>
      <c r="M443" s="74"/>
      <c r="N443" s="74"/>
      <c r="O443" s="74"/>
      <c r="P443" s="74"/>
      <c r="Q443" s="74"/>
    </row>
    <row r="444" spans="1:17" x14ac:dyDescent="0.3">
      <c r="A444" s="64" t="s">
        <v>1203</v>
      </c>
      <c r="B444" s="85" t="s">
        <v>8</v>
      </c>
      <c r="C444" s="85" t="s">
        <v>1200</v>
      </c>
      <c r="D444" s="86" t="s">
        <v>1201</v>
      </c>
      <c r="E444" s="90">
        <v>12</v>
      </c>
      <c r="F444" s="90" t="s">
        <v>674</v>
      </c>
      <c r="G444" s="89"/>
      <c r="M444" s="85">
        <v>30</v>
      </c>
      <c r="N444" s="85" t="s">
        <v>1199</v>
      </c>
      <c r="O444" s="85">
        <v>13</v>
      </c>
      <c r="P444" s="85" t="s">
        <v>399</v>
      </c>
      <c r="Q444" s="86" t="s">
        <v>82</v>
      </c>
    </row>
    <row r="445" spans="1:17" x14ac:dyDescent="0.3">
      <c r="A445" s="70" t="s">
        <v>1205</v>
      </c>
      <c r="B445" s="71" t="s">
        <v>8</v>
      </c>
      <c r="C445" s="71" t="s">
        <v>1206</v>
      </c>
      <c r="D445" s="71"/>
      <c r="E445" s="71"/>
      <c r="F445" s="71" t="s">
        <v>1094</v>
      </c>
      <c r="G445" s="72"/>
      <c r="M445" s="71"/>
      <c r="N445" s="71"/>
      <c r="O445" s="71"/>
      <c r="P445" s="71"/>
      <c r="Q445" s="71"/>
    </row>
    <row r="446" spans="1:17" x14ac:dyDescent="0.3">
      <c r="A446" s="64" t="s">
        <v>1205</v>
      </c>
      <c r="B446" s="85" t="s">
        <v>8</v>
      </c>
      <c r="C446" s="85" t="s">
        <v>1208</v>
      </c>
      <c r="D446" s="86" t="s">
        <v>1201</v>
      </c>
      <c r="E446" s="90">
        <v>11</v>
      </c>
      <c r="F446" s="90" t="s">
        <v>1096</v>
      </c>
      <c r="G446" s="89"/>
      <c r="M446" s="85">
        <v>30</v>
      </c>
      <c r="N446" s="85" t="s">
        <v>1207</v>
      </c>
      <c r="O446" s="85">
        <v>12</v>
      </c>
      <c r="P446" s="85" t="s">
        <v>399</v>
      </c>
      <c r="Q446" s="86" t="s">
        <v>82</v>
      </c>
    </row>
    <row r="447" spans="1:17" x14ac:dyDescent="0.3">
      <c r="A447" s="64" t="s">
        <v>1209</v>
      </c>
      <c r="B447" s="74" t="s">
        <v>8</v>
      </c>
      <c r="C447" s="74" t="s">
        <v>1210</v>
      </c>
      <c r="D447" s="74"/>
      <c r="E447" s="74"/>
      <c r="F447" s="74" t="s">
        <v>1211</v>
      </c>
      <c r="G447" s="75"/>
      <c r="M447" s="74"/>
      <c r="N447" s="74"/>
      <c r="O447" s="74"/>
      <c r="P447" s="74"/>
      <c r="Q447" s="74"/>
    </row>
    <row r="448" spans="1:17" x14ac:dyDescent="0.3">
      <c r="A448" s="64" t="s">
        <v>1209</v>
      </c>
      <c r="B448" s="85" t="s">
        <v>8</v>
      </c>
      <c r="C448" s="85" t="s">
        <v>1208</v>
      </c>
      <c r="D448" s="86" t="s">
        <v>1201</v>
      </c>
      <c r="E448" s="87">
        <v>12</v>
      </c>
      <c r="F448" s="88" t="s">
        <v>808</v>
      </c>
      <c r="G448" s="89"/>
      <c r="M448" s="85">
        <v>30</v>
      </c>
      <c r="N448" s="85" t="s">
        <v>1207</v>
      </c>
      <c r="O448" s="86" t="s">
        <v>420</v>
      </c>
      <c r="P448" s="85" t="s">
        <v>399</v>
      </c>
      <c r="Q448" s="86" t="s">
        <v>82</v>
      </c>
    </row>
    <row r="449" spans="1:17" x14ac:dyDescent="0.3">
      <c r="A449" s="64" t="s">
        <v>1212</v>
      </c>
      <c r="B449" s="85" t="s">
        <v>8</v>
      </c>
      <c r="C449" s="85" t="s">
        <v>1214</v>
      </c>
      <c r="D449" s="86" t="s">
        <v>1201</v>
      </c>
      <c r="E449" s="87">
        <v>11</v>
      </c>
      <c r="F449" s="88" t="s">
        <v>1215</v>
      </c>
      <c r="G449" s="89"/>
      <c r="M449" s="85">
        <v>30</v>
      </c>
      <c r="N449" s="85" t="s">
        <v>1213</v>
      </c>
      <c r="O449" s="86" t="s">
        <v>46</v>
      </c>
      <c r="P449" s="85" t="s">
        <v>399</v>
      </c>
      <c r="Q449" s="86" t="s">
        <v>82</v>
      </c>
    </row>
    <row r="450" spans="1:17" x14ac:dyDescent="0.3">
      <c r="A450" s="70" t="s">
        <v>1212</v>
      </c>
      <c r="B450" s="71" t="s">
        <v>8</v>
      </c>
      <c r="C450" s="71" t="s">
        <v>1216</v>
      </c>
      <c r="D450" s="71"/>
      <c r="E450" s="71"/>
      <c r="F450" s="71" t="s">
        <v>1217</v>
      </c>
      <c r="G450" s="72"/>
      <c r="M450" s="71"/>
      <c r="N450" s="71"/>
      <c r="O450" s="71"/>
      <c r="P450" s="71"/>
      <c r="Q450" s="71"/>
    </row>
    <row r="451" spans="1:17" x14ac:dyDescent="0.3">
      <c r="A451" s="64" t="s">
        <v>1218</v>
      </c>
      <c r="B451" s="74" t="s">
        <v>205</v>
      </c>
      <c r="C451" s="74" t="s">
        <v>1219</v>
      </c>
      <c r="D451" s="74"/>
      <c r="E451" s="74"/>
      <c r="F451" s="74" t="s">
        <v>34</v>
      </c>
      <c r="G451" s="75"/>
      <c r="M451" s="74"/>
      <c r="N451" s="74"/>
      <c r="O451" s="74"/>
      <c r="P451" s="74"/>
      <c r="Q451" s="74"/>
    </row>
    <row r="452" spans="1:17" x14ac:dyDescent="0.3">
      <c r="A452" s="70" t="s">
        <v>1220</v>
      </c>
      <c r="B452" s="71" t="s">
        <v>8</v>
      </c>
      <c r="C452" s="71" t="s">
        <v>1221</v>
      </c>
      <c r="D452" s="71"/>
      <c r="E452" s="71"/>
      <c r="F452" s="71" t="s">
        <v>1135</v>
      </c>
      <c r="G452" s="72"/>
      <c r="M452" s="71"/>
      <c r="N452" s="71"/>
      <c r="O452" s="71"/>
      <c r="P452" s="71"/>
      <c r="Q452" s="71"/>
    </row>
    <row r="453" spans="1:17" x14ac:dyDescent="0.3">
      <c r="A453" s="64" t="s">
        <v>1222</v>
      </c>
      <c r="B453" s="85" t="s">
        <v>8</v>
      </c>
      <c r="C453" s="85" t="s">
        <v>1224</v>
      </c>
      <c r="D453" s="86" t="s">
        <v>1225</v>
      </c>
      <c r="E453" s="90"/>
      <c r="F453" s="90"/>
      <c r="G453" s="89"/>
      <c r="M453" s="85">
        <v>30</v>
      </c>
      <c r="N453" s="85" t="s">
        <v>1223</v>
      </c>
      <c r="O453" s="86" t="s">
        <v>46</v>
      </c>
      <c r="P453" s="85" t="s">
        <v>273</v>
      </c>
      <c r="Q453" s="86" t="s">
        <v>82</v>
      </c>
    </row>
    <row r="454" spans="1:17" x14ac:dyDescent="0.3">
      <c r="A454" s="64" t="s">
        <v>1226</v>
      </c>
      <c r="B454" s="74" t="s">
        <v>8</v>
      </c>
      <c r="C454" s="74" t="s">
        <v>1227</v>
      </c>
      <c r="D454" s="74"/>
      <c r="E454" s="74"/>
      <c r="F454" s="74" t="s">
        <v>1228</v>
      </c>
      <c r="G454" s="75"/>
      <c r="M454" s="74"/>
      <c r="N454" s="74"/>
      <c r="O454" s="74"/>
      <c r="P454" s="74"/>
      <c r="Q454" s="74"/>
    </row>
    <row r="455" spans="1:17" x14ac:dyDescent="0.3">
      <c r="A455" s="64" t="s">
        <v>1226</v>
      </c>
      <c r="B455" s="85" t="s">
        <v>8</v>
      </c>
      <c r="C455" s="85" t="s">
        <v>1229</v>
      </c>
      <c r="D455" s="86"/>
      <c r="E455" s="91">
        <v>4</v>
      </c>
      <c r="F455" s="91" t="s">
        <v>1230</v>
      </c>
      <c r="G455" s="89"/>
      <c r="M455" s="85">
        <v>30</v>
      </c>
      <c r="N455" s="85" t="s">
        <v>1223</v>
      </c>
      <c r="O455" s="86" t="s">
        <v>46</v>
      </c>
      <c r="P455" s="85" t="s">
        <v>190</v>
      </c>
      <c r="Q455" s="86" t="s">
        <v>82</v>
      </c>
    </row>
    <row r="456" spans="1:17" x14ac:dyDescent="0.3">
      <c r="A456" s="64" t="s">
        <v>1231</v>
      </c>
      <c r="B456" s="85" t="s">
        <v>8</v>
      </c>
      <c r="C456" s="85" t="s">
        <v>1232</v>
      </c>
      <c r="D456" s="86" t="s">
        <v>1225</v>
      </c>
      <c r="E456" s="87">
        <v>10</v>
      </c>
      <c r="F456" s="88" t="s">
        <v>1233</v>
      </c>
      <c r="G456" s="89"/>
      <c r="M456" s="85">
        <v>30</v>
      </c>
      <c r="N456" s="85" t="s">
        <v>1223</v>
      </c>
      <c r="O456" s="86" t="s">
        <v>264</v>
      </c>
      <c r="P456" s="85" t="s">
        <v>209</v>
      </c>
      <c r="Q456" s="86" t="s">
        <v>82</v>
      </c>
    </row>
    <row r="457" spans="1:17" x14ac:dyDescent="0.3">
      <c r="A457" s="70" t="s">
        <v>1231</v>
      </c>
      <c r="B457" s="71" t="s">
        <v>8</v>
      </c>
      <c r="C457" s="71" t="s">
        <v>1234</v>
      </c>
      <c r="D457" s="71"/>
      <c r="E457" s="71"/>
      <c r="F457" s="71" t="s">
        <v>1235</v>
      </c>
      <c r="G457" s="72"/>
      <c r="M457" s="71"/>
      <c r="N457" s="71"/>
      <c r="O457" s="71"/>
      <c r="P457" s="71"/>
      <c r="Q457" s="71"/>
    </row>
    <row r="458" spans="1:17" x14ac:dyDescent="0.3">
      <c r="A458" s="64" t="s">
        <v>1236</v>
      </c>
      <c r="B458" s="85" t="s">
        <v>8</v>
      </c>
      <c r="C458" s="85" t="s">
        <v>1237</v>
      </c>
      <c r="D458" s="86" t="s">
        <v>1225</v>
      </c>
      <c r="E458" s="87"/>
      <c r="F458" s="88"/>
      <c r="G458" s="89"/>
      <c r="M458" s="85">
        <v>30</v>
      </c>
      <c r="N458" s="85" t="s">
        <v>1223</v>
      </c>
      <c r="O458" s="86" t="s">
        <v>270</v>
      </c>
      <c r="P458" s="85" t="s">
        <v>209</v>
      </c>
      <c r="Q458" s="86" t="s">
        <v>82</v>
      </c>
    </row>
    <row r="459" spans="1:17" x14ac:dyDescent="0.3">
      <c r="A459" s="64" t="s">
        <v>1236</v>
      </c>
      <c r="B459" s="85" t="s">
        <v>8</v>
      </c>
      <c r="C459" s="85" t="s">
        <v>1238</v>
      </c>
      <c r="D459" s="86" t="s">
        <v>1225</v>
      </c>
      <c r="E459" s="67">
        <v>4</v>
      </c>
      <c r="F459" s="92" t="s">
        <v>1239</v>
      </c>
      <c r="G459" s="89"/>
      <c r="M459" s="85">
        <v>30</v>
      </c>
      <c r="N459" s="85" t="s">
        <v>1223</v>
      </c>
      <c r="O459" s="86" t="s">
        <v>270</v>
      </c>
      <c r="P459" s="85" t="s">
        <v>209</v>
      </c>
      <c r="Q459" s="86" t="s">
        <v>82</v>
      </c>
    </row>
    <row r="460" spans="1:17" x14ac:dyDescent="0.3">
      <c r="A460" s="64" t="s">
        <v>1236</v>
      </c>
      <c r="B460" s="74" t="s">
        <v>8</v>
      </c>
      <c r="C460" s="74" t="s">
        <v>1240</v>
      </c>
      <c r="D460" s="74"/>
      <c r="E460" s="74"/>
      <c r="F460" s="74" t="s">
        <v>890</v>
      </c>
      <c r="G460" s="75"/>
      <c r="M460" s="74"/>
      <c r="N460" s="74"/>
      <c r="O460" s="74"/>
      <c r="P460" s="74"/>
      <c r="Q460" s="74"/>
    </row>
    <row r="461" spans="1:17" x14ac:dyDescent="0.3">
      <c r="A461" s="70" t="s">
        <v>1241</v>
      </c>
      <c r="B461" s="71" t="s">
        <v>8</v>
      </c>
      <c r="C461" s="71" t="s">
        <v>1242</v>
      </c>
      <c r="D461" s="71"/>
      <c r="E461" s="71"/>
      <c r="F461" s="71" t="s">
        <v>511</v>
      </c>
      <c r="G461" s="72"/>
      <c r="M461" s="71"/>
      <c r="N461" s="71"/>
      <c r="O461" s="71"/>
      <c r="P461" s="71"/>
      <c r="Q461" s="71"/>
    </row>
    <row r="462" spans="1:17" x14ac:dyDescent="0.3">
      <c r="A462" s="64" t="s">
        <v>1241</v>
      </c>
      <c r="B462" s="85" t="s">
        <v>8</v>
      </c>
      <c r="C462" s="85" t="s">
        <v>1243</v>
      </c>
      <c r="D462" s="86" t="s">
        <v>1225</v>
      </c>
      <c r="E462" s="67">
        <v>8</v>
      </c>
      <c r="F462" s="92" t="s">
        <v>509</v>
      </c>
      <c r="G462" s="89"/>
      <c r="M462" s="85">
        <v>30</v>
      </c>
      <c r="N462" s="85" t="s">
        <v>1223</v>
      </c>
      <c r="O462" s="86" t="s">
        <v>270</v>
      </c>
      <c r="P462" s="85" t="s">
        <v>209</v>
      </c>
      <c r="Q462" s="86" t="s">
        <v>214</v>
      </c>
    </row>
    <row r="463" spans="1:17" x14ac:dyDescent="0.3">
      <c r="A463" s="64" t="s">
        <v>1244</v>
      </c>
      <c r="B463" s="85" t="s">
        <v>8</v>
      </c>
      <c r="C463" s="85" t="s">
        <v>1245</v>
      </c>
      <c r="D463" s="86" t="s">
        <v>1225</v>
      </c>
      <c r="E463" s="67">
        <v>1</v>
      </c>
      <c r="F463" s="92" t="s">
        <v>958</v>
      </c>
      <c r="G463" s="89"/>
      <c r="M463" s="85">
        <v>30</v>
      </c>
      <c r="N463" s="85" t="s">
        <v>1223</v>
      </c>
      <c r="O463" s="86" t="s">
        <v>270</v>
      </c>
      <c r="P463" s="85" t="s">
        <v>394</v>
      </c>
      <c r="Q463" s="86" t="s">
        <v>82</v>
      </c>
    </row>
    <row r="464" spans="1:17" x14ac:dyDescent="0.3">
      <c r="A464" s="64" t="s">
        <v>1244</v>
      </c>
      <c r="B464" s="74" t="s">
        <v>8</v>
      </c>
      <c r="C464" s="74" t="s">
        <v>1246</v>
      </c>
      <c r="D464" s="74"/>
      <c r="E464" s="74"/>
      <c r="F464" s="74" t="s">
        <v>1247</v>
      </c>
      <c r="G464" s="75"/>
      <c r="M464" s="74"/>
      <c r="N464" s="74"/>
      <c r="O464" s="74"/>
      <c r="P464" s="74"/>
      <c r="Q464" s="74"/>
    </row>
    <row r="465" spans="1:17" x14ac:dyDescent="0.3">
      <c r="A465" s="64" t="s">
        <v>1248</v>
      </c>
      <c r="B465" s="85" t="s">
        <v>8</v>
      </c>
      <c r="C465" s="85" t="s">
        <v>1249</v>
      </c>
      <c r="D465" s="86" t="s">
        <v>1225</v>
      </c>
      <c r="E465" s="90"/>
      <c r="F465" s="90"/>
      <c r="G465" s="89"/>
      <c r="M465" s="85">
        <v>30</v>
      </c>
      <c r="N465" s="85" t="s">
        <v>1223</v>
      </c>
      <c r="O465" s="86" t="s">
        <v>420</v>
      </c>
      <c r="P465" s="85" t="s">
        <v>273</v>
      </c>
      <c r="Q465" s="86" t="s">
        <v>82</v>
      </c>
    </row>
    <row r="466" spans="1:17" x14ac:dyDescent="0.3">
      <c r="A466" s="70" t="s">
        <v>1250</v>
      </c>
      <c r="B466" s="71" t="s">
        <v>8</v>
      </c>
      <c r="C466" s="71" t="s">
        <v>1251</v>
      </c>
      <c r="D466" s="71"/>
      <c r="E466" s="71"/>
      <c r="F466" s="71" t="s">
        <v>1065</v>
      </c>
      <c r="G466" s="72"/>
      <c r="M466" s="71"/>
      <c r="N466" s="71"/>
      <c r="O466" s="71"/>
      <c r="P466" s="71"/>
      <c r="Q466" s="71"/>
    </row>
    <row r="467" spans="1:17" x14ac:dyDescent="0.3">
      <c r="A467" s="64" t="s">
        <v>1252</v>
      </c>
      <c r="B467" s="85" t="s">
        <v>8</v>
      </c>
      <c r="C467" s="85" t="s">
        <v>1253</v>
      </c>
      <c r="D467" s="86"/>
      <c r="E467" s="91">
        <v>4</v>
      </c>
      <c r="F467" s="91" t="s">
        <v>1062</v>
      </c>
      <c r="G467" s="89"/>
      <c r="M467" s="85">
        <v>30</v>
      </c>
      <c r="N467" s="85" t="s">
        <v>1223</v>
      </c>
      <c r="O467" s="86" t="s">
        <v>420</v>
      </c>
      <c r="P467" s="85" t="s">
        <v>190</v>
      </c>
      <c r="Q467" s="86" t="s">
        <v>82</v>
      </c>
    </row>
    <row r="468" spans="1:17" x14ac:dyDescent="0.3">
      <c r="A468" s="64" t="s">
        <v>1254</v>
      </c>
      <c r="B468" s="85" t="s">
        <v>8</v>
      </c>
      <c r="C468" s="85" t="s">
        <v>1255</v>
      </c>
      <c r="D468" s="86" t="s">
        <v>1225</v>
      </c>
      <c r="E468" s="87">
        <v>10</v>
      </c>
      <c r="F468" s="88" t="s">
        <v>324</v>
      </c>
      <c r="G468" s="89"/>
      <c r="M468" s="85">
        <v>30</v>
      </c>
      <c r="N468" s="85" t="s">
        <v>1223</v>
      </c>
      <c r="O468" s="86" t="s">
        <v>425</v>
      </c>
      <c r="P468" s="85" t="s">
        <v>209</v>
      </c>
      <c r="Q468" s="86" t="s">
        <v>82</v>
      </c>
    </row>
    <row r="469" spans="1:17" x14ac:dyDescent="0.3">
      <c r="A469" s="64" t="s">
        <v>1254</v>
      </c>
      <c r="B469" s="74" t="s">
        <v>8</v>
      </c>
      <c r="C469" s="74" t="s">
        <v>1256</v>
      </c>
      <c r="D469" s="74"/>
      <c r="E469" s="74"/>
      <c r="F469" s="74" t="s">
        <v>719</v>
      </c>
      <c r="G469" s="75"/>
      <c r="M469" s="74"/>
      <c r="N469" s="74"/>
      <c r="O469" s="74"/>
      <c r="P469" s="74"/>
      <c r="Q469" s="74"/>
    </row>
    <row r="470" spans="1:17" x14ac:dyDescent="0.3">
      <c r="A470" s="64" t="s">
        <v>1257</v>
      </c>
      <c r="B470" s="85" t="s">
        <v>8</v>
      </c>
      <c r="C470" s="85" t="s">
        <v>1258</v>
      </c>
      <c r="D470" s="86" t="s">
        <v>1225</v>
      </c>
      <c r="E470" s="67">
        <v>5</v>
      </c>
      <c r="F470" s="92" t="s">
        <v>1259</v>
      </c>
      <c r="G470" s="89"/>
      <c r="M470" s="85">
        <v>30</v>
      </c>
      <c r="N470" s="85" t="s">
        <v>1223</v>
      </c>
      <c r="O470" s="86" t="s">
        <v>714</v>
      </c>
      <c r="P470" s="85" t="s">
        <v>209</v>
      </c>
      <c r="Q470" s="86" t="s">
        <v>82</v>
      </c>
    </row>
    <row r="471" spans="1:17" x14ac:dyDescent="0.3">
      <c r="A471" s="64" t="s">
        <v>1257</v>
      </c>
      <c r="B471" s="85" t="s">
        <v>8</v>
      </c>
      <c r="C471" s="85" t="s">
        <v>1260</v>
      </c>
      <c r="D471" s="86" t="s">
        <v>1225</v>
      </c>
      <c r="E471" s="67">
        <v>2</v>
      </c>
      <c r="F471" s="92" t="s">
        <v>36</v>
      </c>
      <c r="G471" s="89"/>
      <c r="M471" s="85">
        <v>30</v>
      </c>
      <c r="N471" s="85" t="s">
        <v>1223</v>
      </c>
      <c r="O471" s="86" t="s">
        <v>714</v>
      </c>
      <c r="P471" s="85" t="s">
        <v>209</v>
      </c>
      <c r="Q471" s="86" t="s">
        <v>82</v>
      </c>
    </row>
    <row r="472" spans="1:17" x14ac:dyDescent="0.3">
      <c r="A472" s="70" t="s">
        <v>1257</v>
      </c>
      <c r="B472" s="71" t="s">
        <v>8</v>
      </c>
      <c r="C472" s="71" t="s">
        <v>1261</v>
      </c>
      <c r="D472" s="71"/>
      <c r="E472" s="71"/>
      <c r="F472" s="71" t="s">
        <v>1262</v>
      </c>
      <c r="G472" s="72"/>
      <c r="M472" s="71"/>
      <c r="N472" s="71"/>
      <c r="O472" s="71"/>
      <c r="P472" s="71"/>
      <c r="Q472" s="71"/>
    </row>
    <row r="473" spans="1:17" x14ac:dyDescent="0.3">
      <c r="A473" s="64" t="s">
        <v>1263</v>
      </c>
      <c r="B473" s="74" t="s">
        <v>8</v>
      </c>
      <c r="C473" s="74" t="s">
        <v>1264</v>
      </c>
      <c r="D473" s="74"/>
      <c r="E473" s="74"/>
      <c r="F473" s="74" t="s">
        <v>495</v>
      </c>
      <c r="G473" s="75"/>
      <c r="M473" s="74"/>
      <c r="N473" s="74"/>
      <c r="O473" s="74"/>
      <c r="P473" s="74"/>
      <c r="Q473" s="74"/>
    </row>
    <row r="474" spans="1:17" x14ac:dyDescent="0.3">
      <c r="A474" s="64" t="s">
        <v>1263</v>
      </c>
      <c r="B474" s="85" t="s">
        <v>8</v>
      </c>
      <c r="C474" s="85" t="s">
        <v>1265</v>
      </c>
      <c r="D474" s="86" t="s">
        <v>1225</v>
      </c>
      <c r="E474" s="67">
        <v>9</v>
      </c>
      <c r="F474" s="92" t="s">
        <v>497</v>
      </c>
      <c r="G474" s="89"/>
      <c r="M474" s="85">
        <v>30</v>
      </c>
      <c r="N474" s="85" t="s">
        <v>1223</v>
      </c>
      <c r="O474" s="86" t="s">
        <v>714</v>
      </c>
      <c r="P474" s="85" t="s">
        <v>209</v>
      </c>
      <c r="Q474" s="86" t="s">
        <v>214</v>
      </c>
    </row>
    <row r="475" spans="1:17" x14ac:dyDescent="0.3">
      <c r="A475" s="64" t="s">
        <v>1266</v>
      </c>
      <c r="B475" s="85" t="s">
        <v>8</v>
      </c>
      <c r="C475" s="85" t="s">
        <v>1267</v>
      </c>
      <c r="D475" s="86" t="s">
        <v>1225</v>
      </c>
      <c r="E475" s="87"/>
      <c r="F475" s="88"/>
      <c r="G475" s="89"/>
      <c r="M475" s="85">
        <v>30</v>
      </c>
      <c r="N475" s="85" t="s">
        <v>1223</v>
      </c>
      <c r="O475" s="86" t="s">
        <v>714</v>
      </c>
      <c r="P475" s="85" t="s">
        <v>394</v>
      </c>
      <c r="Q475" s="86" t="s">
        <v>82</v>
      </c>
    </row>
    <row r="476" spans="1:17" x14ac:dyDescent="0.3">
      <c r="A476" s="70" t="s">
        <v>1266</v>
      </c>
      <c r="B476" s="71" t="s">
        <v>8</v>
      </c>
      <c r="C476" s="71" t="s">
        <v>1268</v>
      </c>
      <c r="D476" s="71"/>
      <c r="E476" s="71"/>
      <c r="F476" s="71" t="s">
        <v>34</v>
      </c>
      <c r="G476" s="72"/>
      <c r="M476" s="71"/>
      <c r="N476" s="71"/>
      <c r="O476" s="71"/>
      <c r="P476" s="71"/>
      <c r="Q476" s="71"/>
    </row>
    <row r="477" spans="1:17" x14ac:dyDescent="0.3">
      <c r="A477" s="64" t="s">
        <v>1269</v>
      </c>
      <c r="B477" s="85" t="s">
        <v>8</v>
      </c>
      <c r="C477" s="85" t="s">
        <v>1270</v>
      </c>
      <c r="D477" s="86" t="s">
        <v>1271</v>
      </c>
      <c r="E477" s="87"/>
      <c r="F477" s="87"/>
      <c r="G477" s="89"/>
      <c r="M477" s="85">
        <v>30</v>
      </c>
      <c r="N477" s="85" t="s">
        <v>1223</v>
      </c>
      <c r="O477" s="86" t="s">
        <v>64</v>
      </c>
      <c r="P477" s="85" t="s">
        <v>273</v>
      </c>
      <c r="Q477" s="86" t="s">
        <v>48</v>
      </c>
    </row>
    <row r="478" spans="1:17" x14ac:dyDescent="0.3">
      <c r="A478" s="64" t="s">
        <v>1272</v>
      </c>
      <c r="B478" s="74" t="s">
        <v>8</v>
      </c>
      <c r="C478" s="74" t="s">
        <v>1273</v>
      </c>
      <c r="D478" s="74"/>
      <c r="E478" s="74"/>
      <c r="F478" s="74" t="s">
        <v>1274</v>
      </c>
      <c r="G478" s="75"/>
      <c r="M478" s="74"/>
      <c r="N478" s="74"/>
      <c r="O478" s="74"/>
      <c r="P478" s="74"/>
      <c r="Q478" s="74"/>
    </row>
    <row r="479" spans="1:17" x14ac:dyDescent="0.3">
      <c r="A479" s="64" t="s">
        <v>1272</v>
      </c>
      <c r="B479" s="85" t="s">
        <v>8</v>
      </c>
      <c r="C479" s="85" t="s">
        <v>1275</v>
      </c>
      <c r="D479" s="86"/>
      <c r="E479" s="91">
        <v>5</v>
      </c>
      <c r="F479" s="91" t="s">
        <v>1276</v>
      </c>
      <c r="G479" s="89"/>
      <c r="M479" s="85">
        <v>30</v>
      </c>
      <c r="N479" s="85" t="s">
        <v>1223</v>
      </c>
      <c r="O479" s="86" t="s">
        <v>64</v>
      </c>
      <c r="P479" s="85" t="s">
        <v>190</v>
      </c>
      <c r="Q479" s="86" t="s">
        <v>82</v>
      </c>
    </row>
    <row r="480" spans="1:17" x14ac:dyDescent="0.3">
      <c r="A480" s="70" t="s">
        <v>1277</v>
      </c>
      <c r="B480" s="71" t="s">
        <v>8</v>
      </c>
      <c r="C480" s="71" t="s">
        <v>1278</v>
      </c>
      <c r="D480" s="71"/>
      <c r="E480" s="71"/>
      <c r="F480" s="71" t="s">
        <v>895</v>
      </c>
      <c r="G480" s="72"/>
      <c r="M480" s="71"/>
      <c r="N480" s="71"/>
      <c r="O480" s="71"/>
      <c r="P480" s="71"/>
      <c r="Q480" s="71"/>
    </row>
    <row r="481" spans="1:17" x14ac:dyDescent="0.3">
      <c r="A481" s="64" t="s">
        <v>1277</v>
      </c>
      <c r="B481" s="85" t="s">
        <v>8</v>
      </c>
      <c r="C481" s="85" t="s">
        <v>1279</v>
      </c>
      <c r="D481" s="86" t="s">
        <v>1271</v>
      </c>
      <c r="E481" s="67">
        <v>2</v>
      </c>
      <c r="F481" s="67" t="s">
        <v>22</v>
      </c>
      <c r="G481" s="89"/>
      <c r="M481" s="85">
        <v>30</v>
      </c>
      <c r="N481" s="85" t="s">
        <v>1223</v>
      </c>
      <c r="O481" s="86" t="s">
        <v>280</v>
      </c>
      <c r="P481" s="85" t="s">
        <v>209</v>
      </c>
      <c r="Q481" s="86" t="s">
        <v>82</v>
      </c>
    </row>
    <row r="482" spans="1:17" x14ac:dyDescent="0.3">
      <c r="A482" s="64" t="s">
        <v>1280</v>
      </c>
      <c r="B482" s="85" t="s">
        <v>8</v>
      </c>
      <c r="C482" s="85" t="s">
        <v>1281</v>
      </c>
      <c r="D482" s="86" t="s">
        <v>1271</v>
      </c>
      <c r="E482" s="67">
        <v>2</v>
      </c>
      <c r="F482" s="67" t="s">
        <v>450</v>
      </c>
      <c r="G482" s="89"/>
      <c r="M482" s="85">
        <v>30</v>
      </c>
      <c r="N482" s="85" t="s">
        <v>1223</v>
      </c>
      <c r="O482" s="86" t="s">
        <v>459</v>
      </c>
      <c r="P482" s="85" t="s">
        <v>209</v>
      </c>
      <c r="Q482" s="86" t="s">
        <v>82</v>
      </c>
    </row>
    <row r="483" spans="1:17" x14ac:dyDescent="0.3">
      <c r="A483" s="64" t="s">
        <v>1280</v>
      </c>
      <c r="B483" s="74" t="s">
        <v>8</v>
      </c>
      <c r="C483" s="74" t="s">
        <v>1282</v>
      </c>
      <c r="D483" s="74"/>
      <c r="E483" s="74"/>
      <c r="F483" s="74" t="s">
        <v>1283</v>
      </c>
      <c r="G483" s="75"/>
      <c r="M483" s="74"/>
      <c r="N483" s="74"/>
      <c r="O483" s="74"/>
      <c r="P483" s="74"/>
      <c r="Q483" s="74"/>
    </row>
    <row r="484" spans="1:17" x14ac:dyDescent="0.3">
      <c r="A484" s="64" t="s">
        <v>1280</v>
      </c>
      <c r="B484" s="85" t="s">
        <v>8</v>
      </c>
      <c r="C484" s="85" t="s">
        <v>1284</v>
      </c>
      <c r="D484" s="86" t="s">
        <v>1271</v>
      </c>
      <c r="E484" s="87"/>
      <c r="F484" s="87"/>
      <c r="G484" s="89"/>
      <c r="M484" s="85">
        <v>30</v>
      </c>
      <c r="N484" s="85" t="s">
        <v>1223</v>
      </c>
      <c r="O484" s="86" t="s">
        <v>459</v>
      </c>
      <c r="P484" s="85" t="s">
        <v>209</v>
      </c>
      <c r="Q484" s="86" t="s">
        <v>82</v>
      </c>
    </row>
    <row r="485" spans="1:17" x14ac:dyDescent="0.3">
      <c r="A485" s="70" t="s">
        <v>1285</v>
      </c>
      <c r="B485" s="71" t="s">
        <v>8</v>
      </c>
      <c r="C485" s="71" t="s">
        <v>1286</v>
      </c>
      <c r="D485" s="71"/>
      <c r="E485" s="71"/>
      <c r="F485" s="71" t="s">
        <v>1287</v>
      </c>
      <c r="G485" s="72"/>
      <c r="M485" s="71"/>
      <c r="N485" s="71"/>
      <c r="O485" s="71"/>
      <c r="P485" s="71"/>
      <c r="Q485" s="71"/>
    </row>
    <row r="486" spans="1:17" x14ac:dyDescent="0.3">
      <c r="A486" s="64" t="s">
        <v>1285</v>
      </c>
      <c r="B486" s="85" t="s">
        <v>8</v>
      </c>
      <c r="C486" s="85" t="s">
        <v>1288</v>
      </c>
      <c r="D486" s="86" t="s">
        <v>1225</v>
      </c>
      <c r="E486" s="67">
        <v>3</v>
      </c>
      <c r="F486" s="92" t="s">
        <v>30</v>
      </c>
      <c r="G486" s="89"/>
      <c r="M486" s="85">
        <v>30</v>
      </c>
      <c r="N486" s="85" t="s">
        <v>1223</v>
      </c>
      <c r="O486" s="86" t="s">
        <v>459</v>
      </c>
      <c r="P486" s="85" t="s">
        <v>209</v>
      </c>
      <c r="Q486" s="86" t="s">
        <v>214</v>
      </c>
    </row>
    <row r="487" spans="1:17" x14ac:dyDescent="0.3">
      <c r="A487" s="64" t="s">
        <v>1289</v>
      </c>
      <c r="B487" s="85" t="s">
        <v>8</v>
      </c>
      <c r="C487" s="85" t="s">
        <v>1290</v>
      </c>
      <c r="D487" s="86" t="s">
        <v>1271</v>
      </c>
      <c r="E487" s="67">
        <v>9</v>
      </c>
      <c r="F487" s="67" t="s">
        <v>740</v>
      </c>
      <c r="G487" s="89"/>
      <c r="M487" s="85">
        <v>30</v>
      </c>
      <c r="N487" s="85" t="s">
        <v>1223</v>
      </c>
      <c r="O487" s="86" t="s">
        <v>459</v>
      </c>
      <c r="P487" s="85" t="s">
        <v>394</v>
      </c>
      <c r="Q487" s="86" t="s">
        <v>82</v>
      </c>
    </row>
    <row r="488" spans="1:17" x14ac:dyDescent="0.3">
      <c r="A488" s="64" t="s">
        <v>1289</v>
      </c>
      <c r="B488" s="74" t="s">
        <v>8</v>
      </c>
      <c r="C488" s="74" t="s">
        <v>1291</v>
      </c>
      <c r="D488" s="74"/>
      <c r="E488" s="74"/>
      <c r="F488" s="74" t="s">
        <v>738</v>
      </c>
      <c r="G488" s="75"/>
      <c r="M488" s="74"/>
      <c r="N488" s="74"/>
      <c r="O488" s="74"/>
      <c r="P488" s="74"/>
      <c r="Q488" s="74"/>
    </row>
    <row r="489" spans="1:17" x14ac:dyDescent="0.3">
      <c r="A489" s="70" t="s">
        <v>1292</v>
      </c>
      <c r="B489" s="71" t="s">
        <v>8</v>
      </c>
      <c r="C489" s="71" t="s">
        <v>1293</v>
      </c>
      <c r="D489" s="71"/>
      <c r="E489" s="71"/>
      <c r="F489" s="71" t="s">
        <v>1294</v>
      </c>
      <c r="G489" s="72"/>
      <c r="M489" s="71"/>
      <c r="N489" s="71"/>
      <c r="O489" s="71"/>
      <c r="P489" s="71"/>
      <c r="Q489" s="71"/>
    </row>
    <row r="490" spans="1:17" x14ac:dyDescent="0.3">
      <c r="A490" s="64" t="s">
        <v>1292</v>
      </c>
      <c r="B490" s="85" t="s">
        <v>8</v>
      </c>
      <c r="C490" s="85" t="s">
        <v>1279</v>
      </c>
      <c r="D490" s="86" t="s">
        <v>1271</v>
      </c>
      <c r="E490" s="67">
        <v>3</v>
      </c>
      <c r="F490" s="67" t="s">
        <v>1126</v>
      </c>
      <c r="G490" s="89"/>
      <c r="M490" s="85">
        <v>30</v>
      </c>
      <c r="N490" s="85" t="s">
        <v>1223</v>
      </c>
      <c r="O490" s="86" t="s">
        <v>975</v>
      </c>
      <c r="P490" s="85" t="s">
        <v>209</v>
      </c>
      <c r="Q490" s="86" t="s">
        <v>82</v>
      </c>
    </row>
    <row r="491" spans="1:17" x14ac:dyDescent="0.3">
      <c r="A491" s="64" t="s">
        <v>1295</v>
      </c>
      <c r="B491" s="85" t="s">
        <v>8</v>
      </c>
      <c r="C491" s="85" t="s">
        <v>1297</v>
      </c>
      <c r="D491" s="86" t="s">
        <v>1271</v>
      </c>
      <c r="E491" s="90"/>
      <c r="F491" s="90"/>
      <c r="G491" s="89"/>
      <c r="M491" s="85">
        <v>30</v>
      </c>
      <c r="N491" s="85" t="s">
        <v>1223</v>
      </c>
      <c r="O491" s="86" t="s">
        <v>1296</v>
      </c>
      <c r="P491" s="85" t="s">
        <v>209</v>
      </c>
      <c r="Q491" s="86" t="s">
        <v>82</v>
      </c>
    </row>
    <row r="492" spans="1:17" x14ac:dyDescent="0.3">
      <c r="A492" s="64" t="s">
        <v>1295</v>
      </c>
      <c r="B492" s="74" t="s">
        <v>8</v>
      </c>
      <c r="C492" s="74" t="s">
        <v>1298</v>
      </c>
      <c r="D492" s="74"/>
      <c r="E492" s="74"/>
      <c r="F492" s="74" t="s">
        <v>223</v>
      </c>
      <c r="G492" s="75"/>
      <c r="M492" s="74"/>
      <c r="N492" s="74"/>
      <c r="O492" s="74"/>
      <c r="P492" s="74"/>
      <c r="Q492" s="74"/>
    </row>
    <row r="493" spans="1:17" x14ac:dyDescent="0.3">
      <c r="A493" s="64" t="s">
        <v>1295</v>
      </c>
      <c r="B493" s="85" t="s">
        <v>8</v>
      </c>
      <c r="C493" s="85" t="s">
        <v>1299</v>
      </c>
      <c r="D493" s="86" t="s">
        <v>1271</v>
      </c>
      <c r="E493" s="91">
        <v>3</v>
      </c>
      <c r="F493" s="91" t="s">
        <v>221</v>
      </c>
      <c r="G493" s="89"/>
      <c r="M493" s="85">
        <v>30</v>
      </c>
      <c r="N493" s="85" t="s">
        <v>1223</v>
      </c>
      <c r="O493" s="86" t="s">
        <v>1296</v>
      </c>
      <c r="P493" s="85" t="s">
        <v>209</v>
      </c>
      <c r="Q493" s="86" t="s">
        <v>82</v>
      </c>
    </row>
    <row r="494" spans="1:17" x14ac:dyDescent="0.3">
      <c r="A494" s="70" t="s">
        <v>1300</v>
      </c>
      <c r="B494" s="71" t="s">
        <v>8</v>
      </c>
      <c r="C494" s="71" t="s">
        <v>1301</v>
      </c>
      <c r="D494" s="71"/>
      <c r="E494" s="71"/>
      <c r="F494" s="71" t="s">
        <v>1302</v>
      </c>
      <c r="G494" s="72"/>
      <c r="M494" s="71"/>
      <c r="N494" s="71"/>
      <c r="O494" s="71"/>
      <c r="P494" s="71"/>
      <c r="Q494" s="71"/>
    </row>
    <row r="495" spans="1:17" x14ac:dyDescent="0.3">
      <c r="A495" s="64" t="s">
        <v>1300</v>
      </c>
      <c r="B495" s="85" t="s">
        <v>8</v>
      </c>
      <c r="C495" s="85" t="s">
        <v>1303</v>
      </c>
      <c r="D495" s="86" t="s">
        <v>1225</v>
      </c>
      <c r="E495" s="67">
        <v>4</v>
      </c>
      <c r="F495" s="92" t="s">
        <v>1304</v>
      </c>
      <c r="G495" s="89"/>
      <c r="M495" s="85">
        <v>30</v>
      </c>
      <c r="N495" s="85" t="s">
        <v>1223</v>
      </c>
      <c r="O495" s="86" t="s">
        <v>1296</v>
      </c>
      <c r="P495" s="85" t="s">
        <v>273</v>
      </c>
      <c r="Q495" s="86" t="s">
        <v>214</v>
      </c>
    </row>
    <row r="496" spans="1:17" x14ac:dyDescent="0.3">
      <c r="A496" s="64" t="s">
        <v>1305</v>
      </c>
      <c r="B496" s="85" t="s">
        <v>8</v>
      </c>
      <c r="C496" s="85" t="s">
        <v>1306</v>
      </c>
      <c r="D496" s="86" t="s">
        <v>1271</v>
      </c>
      <c r="E496" s="87">
        <v>10</v>
      </c>
      <c r="F496" s="87" t="s">
        <v>777</v>
      </c>
      <c r="G496" s="89"/>
      <c r="M496" s="85">
        <v>30</v>
      </c>
      <c r="N496" s="85" t="s">
        <v>1223</v>
      </c>
      <c r="O496" s="86" t="s">
        <v>1296</v>
      </c>
      <c r="P496" s="85" t="s">
        <v>394</v>
      </c>
      <c r="Q496" s="86" t="s">
        <v>82</v>
      </c>
    </row>
    <row r="497" spans="1:17" x14ac:dyDescent="0.3">
      <c r="A497" s="64" t="s">
        <v>1305</v>
      </c>
      <c r="B497" s="74" t="s">
        <v>8</v>
      </c>
      <c r="C497" s="74" t="s">
        <v>1307</v>
      </c>
      <c r="D497" s="74"/>
      <c r="E497" s="74"/>
      <c r="F497" s="74" t="s">
        <v>775</v>
      </c>
      <c r="G497" s="75"/>
      <c r="M497" s="74"/>
      <c r="N497" s="74"/>
      <c r="O497" s="74"/>
      <c r="P497" s="74"/>
      <c r="Q497" s="74"/>
    </row>
    <row r="498" spans="1:17" x14ac:dyDescent="0.3">
      <c r="A498" s="64" t="s">
        <v>1308</v>
      </c>
      <c r="B498" s="85" t="s">
        <v>8</v>
      </c>
      <c r="C498" s="85" t="s">
        <v>1309</v>
      </c>
      <c r="D498" s="86" t="s">
        <v>1310</v>
      </c>
      <c r="E498" s="87">
        <v>10</v>
      </c>
      <c r="F498" s="87" t="s">
        <v>772</v>
      </c>
      <c r="G498" s="89"/>
      <c r="M498" s="85">
        <v>30</v>
      </c>
      <c r="N498" s="85" t="s">
        <v>1223</v>
      </c>
      <c r="O498" s="86" t="s">
        <v>745</v>
      </c>
      <c r="P498" s="85" t="s">
        <v>209</v>
      </c>
      <c r="Q498" s="86" t="s">
        <v>214</v>
      </c>
    </row>
    <row r="499" spans="1:17" x14ac:dyDescent="0.3">
      <c r="A499" s="70" t="s">
        <v>1308</v>
      </c>
      <c r="B499" s="71" t="s">
        <v>8</v>
      </c>
      <c r="C499" s="71" t="s">
        <v>1311</v>
      </c>
      <c r="D499" s="71"/>
      <c r="E499" s="71"/>
      <c r="F499" s="71" t="s">
        <v>770</v>
      </c>
      <c r="G499" s="72"/>
      <c r="M499" s="71"/>
      <c r="N499" s="71"/>
      <c r="O499" s="71"/>
      <c r="P499" s="71"/>
      <c r="Q499" s="71"/>
    </row>
    <row r="500" spans="1:17" x14ac:dyDescent="0.3">
      <c r="A500" s="64" t="s">
        <v>1312</v>
      </c>
      <c r="B500" s="85" t="s">
        <v>8</v>
      </c>
      <c r="C500" s="85" t="s">
        <v>1314</v>
      </c>
      <c r="D500" s="86" t="s">
        <v>1310</v>
      </c>
      <c r="E500" s="90">
        <v>11</v>
      </c>
      <c r="F500" s="90" t="s">
        <v>796</v>
      </c>
      <c r="G500" s="89"/>
      <c r="M500" s="85">
        <v>30</v>
      </c>
      <c r="N500" s="85" t="s">
        <v>1223</v>
      </c>
      <c r="O500" s="86" t="s">
        <v>1313</v>
      </c>
      <c r="P500" s="85" t="s">
        <v>209</v>
      </c>
      <c r="Q500" s="86" t="s">
        <v>214</v>
      </c>
    </row>
    <row r="501" spans="1:17" x14ac:dyDescent="0.3">
      <c r="A501" s="64" t="s">
        <v>1312</v>
      </c>
      <c r="B501" s="74" t="s">
        <v>8</v>
      </c>
      <c r="C501" s="74" t="s">
        <v>1315</v>
      </c>
      <c r="D501" s="74"/>
      <c r="E501" s="74"/>
      <c r="F501" s="74" t="s">
        <v>794</v>
      </c>
      <c r="G501" s="75"/>
      <c r="M501" s="74"/>
      <c r="N501" s="74"/>
      <c r="O501" s="74"/>
      <c r="P501" s="74"/>
      <c r="Q501" s="74"/>
    </row>
    <row r="502" spans="1:17" x14ac:dyDescent="0.3">
      <c r="A502" s="70" t="s">
        <v>1316</v>
      </c>
      <c r="B502" s="71" t="s">
        <v>205</v>
      </c>
      <c r="C502" s="71" t="s">
        <v>1317</v>
      </c>
      <c r="D502" s="71"/>
      <c r="E502" s="71"/>
      <c r="F502" s="71" t="s">
        <v>1283</v>
      </c>
      <c r="G502" s="72"/>
      <c r="M502" s="71"/>
      <c r="N502" s="71"/>
      <c r="O502" s="71"/>
      <c r="P502" s="71"/>
      <c r="Q502" s="71"/>
    </row>
    <row r="503" spans="1:17" x14ac:dyDescent="0.3">
      <c r="A503" s="64" t="s">
        <v>1316</v>
      </c>
      <c r="B503" s="93" t="s">
        <v>205</v>
      </c>
      <c r="C503" s="93" t="s">
        <v>1318</v>
      </c>
      <c r="D503" s="94" t="s">
        <v>211</v>
      </c>
      <c r="E503" s="95">
        <v>2</v>
      </c>
      <c r="F503" s="96" t="s">
        <v>450</v>
      </c>
      <c r="G503" s="97"/>
      <c r="M503" s="93">
        <v>30</v>
      </c>
      <c r="N503" s="93" t="s">
        <v>1223</v>
      </c>
      <c r="O503" s="94" t="s">
        <v>286</v>
      </c>
      <c r="P503" s="93" t="s">
        <v>209</v>
      </c>
      <c r="Q503" s="94" t="s">
        <v>82</v>
      </c>
    </row>
    <row r="504" spans="1:17" x14ac:dyDescent="0.3">
      <c r="A504" s="64" t="s">
        <v>1319</v>
      </c>
      <c r="B504" s="74" t="s">
        <v>205</v>
      </c>
      <c r="C504" s="74" t="s">
        <v>1320</v>
      </c>
      <c r="D504" s="74"/>
      <c r="E504" s="74"/>
      <c r="F504" s="74" t="s">
        <v>1302</v>
      </c>
      <c r="G504" s="75"/>
      <c r="M504" s="74"/>
      <c r="N504" s="74"/>
      <c r="O504" s="74"/>
      <c r="P504" s="74"/>
      <c r="Q504" s="74"/>
    </row>
    <row r="505" spans="1:17" x14ac:dyDescent="0.3">
      <c r="A505" s="64" t="s">
        <v>1319</v>
      </c>
      <c r="B505" s="93" t="s">
        <v>205</v>
      </c>
      <c r="C505" s="93" t="s">
        <v>1321</v>
      </c>
      <c r="D505" s="94" t="s">
        <v>211</v>
      </c>
      <c r="E505" s="95">
        <v>4</v>
      </c>
      <c r="F505" s="96" t="s">
        <v>1304</v>
      </c>
      <c r="G505" s="97"/>
      <c r="M505" s="93">
        <v>30</v>
      </c>
      <c r="N505" s="93" t="s">
        <v>1223</v>
      </c>
      <c r="O505" s="94" t="s">
        <v>464</v>
      </c>
      <c r="P505" s="93" t="s">
        <v>209</v>
      </c>
      <c r="Q505" s="94" t="s">
        <v>82</v>
      </c>
    </row>
    <row r="506" spans="1:17" x14ac:dyDescent="0.3">
      <c r="A506" s="70" t="s">
        <v>1322</v>
      </c>
      <c r="B506" s="71" t="s">
        <v>205</v>
      </c>
      <c r="C506" s="71" t="s">
        <v>1323</v>
      </c>
      <c r="D506" s="71"/>
      <c r="E506" s="71"/>
      <c r="F506" s="71" t="s">
        <v>1274</v>
      </c>
      <c r="G506" s="72"/>
      <c r="M506" s="71"/>
      <c r="N506" s="71"/>
      <c r="O506" s="71"/>
      <c r="P506" s="71"/>
      <c r="Q506" s="71"/>
    </row>
    <row r="507" spans="1:17" x14ac:dyDescent="0.3">
      <c r="A507" s="64" t="s">
        <v>1322</v>
      </c>
      <c r="B507" s="93" t="s">
        <v>205</v>
      </c>
      <c r="C507" s="93" t="s">
        <v>1325</v>
      </c>
      <c r="D507" s="94" t="s">
        <v>211</v>
      </c>
      <c r="E507" s="95">
        <v>5</v>
      </c>
      <c r="F507" s="95" t="s">
        <v>1276</v>
      </c>
      <c r="G507" s="97"/>
      <c r="M507" s="93">
        <v>30</v>
      </c>
      <c r="N507" s="93" t="s">
        <v>1223</v>
      </c>
      <c r="O507" s="94" t="s">
        <v>1324</v>
      </c>
      <c r="P507" s="93" t="s">
        <v>209</v>
      </c>
      <c r="Q507" s="94" t="s">
        <v>82</v>
      </c>
    </row>
    <row r="508" spans="1:17" x14ac:dyDescent="0.3">
      <c r="A508" s="64" t="s">
        <v>1326</v>
      </c>
      <c r="B508" s="85" t="s">
        <v>8</v>
      </c>
      <c r="C508" s="85" t="s">
        <v>1327</v>
      </c>
      <c r="D508" s="86" t="s">
        <v>1310</v>
      </c>
      <c r="E508" s="87">
        <v>11</v>
      </c>
      <c r="F508" s="88" t="s">
        <v>801</v>
      </c>
      <c r="G508" s="89"/>
      <c r="M508" s="85">
        <v>30</v>
      </c>
      <c r="N508" s="85" t="s">
        <v>1223</v>
      </c>
      <c r="O508" s="86" t="s">
        <v>120</v>
      </c>
      <c r="P508" s="85" t="s">
        <v>209</v>
      </c>
      <c r="Q508" s="86" t="s">
        <v>48</v>
      </c>
    </row>
    <row r="509" spans="1:17" x14ac:dyDescent="0.3">
      <c r="A509" s="64" t="s">
        <v>1326</v>
      </c>
      <c r="B509" s="85" t="s">
        <v>8</v>
      </c>
      <c r="C509" s="85" t="s">
        <v>1328</v>
      </c>
      <c r="D509" s="86" t="s">
        <v>1310</v>
      </c>
      <c r="E509" s="87">
        <v>12</v>
      </c>
      <c r="F509" s="88" t="s">
        <v>821</v>
      </c>
      <c r="G509" s="89"/>
      <c r="M509" s="85">
        <v>30</v>
      </c>
      <c r="N509" s="85" t="s">
        <v>1223</v>
      </c>
      <c r="O509" s="86" t="s">
        <v>120</v>
      </c>
      <c r="P509" s="85" t="s">
        <v>684</v>
      </c>
      <c r="Q509" s="86" t="s">
        <v>48</v>
      </c>
    </row>
    <row r="510" spans="1:17" x14ac:dyDescent="0.3">
      <c r="A510" s="64" t="s">
        <v>1326</v>
      </c>
      <c r="B510" s="74" t="s">
        <v>8</v>
      </c>
      <c r="C510" s="74" t="s">
        <v>1329</v>
      </c>
      <c r="D510" s="74"/>
      <c r="E510" s="74"/>
      <c r="F510" s="74" t="s">
        <v>799</v>
      </c>
      <c r="G510" s="75"/>
      <c r="M510" s="74"/>
      <c r="N510" s="74"/>
      <c r="O510" s="74"/>
      <c r="P510" s="74"/>
      <c r="Q510" s="74"/>
    </row>
    <row r="511" spans="1:17" x14ac:dyDescent="0.3">
      <c r="A511" s="70" t="s">
        <v>1326</v>
      </c>
      <c r="B511" s="71" t="s">
        <v>8</v>
      </c>
      <c r="C511" s="71" t="s">
        <v>1329</v>
      </c>
      <c r="D511" s="71"/>
      <c r="E511" s="71"/>
      <c r="F511" s="71" t="s">
        <v>819</v>
      </c>
      <c r="G511" s="72"/>
      <c r="M511" s="71"/>
      <c r="N511" s="71"/>
      <c r="O511" s="71"/>
      <c r="P511" s="71"/>
      <c r="Q511" s="71"/>
    </row>
    <row r="512" spans="1:17" x14ac:dyDescent="0.3">
      <c r="A512" s="64" t="s">
        <v>1330</v>
      </c>
      <c r="B512" s="85" t="s">
        <v>8</v>
      </c>
      <c r="C512" s="85" t="s">
        <v>1331</v>
      </c>
      <c r="D512" s="86" t="s">
        <v>1310</v>
      </c>
      <c r="E512" s="87"/>
      <c r="F512" s="88"/>
      <c r="G512" s="89"/>
      <c r="M512" s="85">
        <v>30</v>
      </c>
      <c r="N512" s="85" t="s">
        <v>1223</v>
      </c>
      <c r="O512" s="86" t="s">
        <v>120</v>
      </c>
      <c r="P512" s="85" t="s">
        <v>273</v>
      </c>
      <c r="Q512" s="86" t="s">
        <v>48</v>
      </c>
    </row>
    <row r="513" spans="1:17" x14ac:dyDescent="0.3">
      <c r="A513" s="64" t="s">
        <v>1332</v>
      </c>
      <c r="B513" s="74" t="s">
        <v>8</v>
      </c>
      <c r="C513" s="74" t="s">
        <v>1333</v>
      </c>
      <c r="D513" s="74"/>
      <c r="E513" s="74"/>
      <c r="F513" s="74" t="s">
        <v>1075</v>
      </c>
      <c r="G513" s="75"/>
      <c r="M513" s="74"/>
      <c r="N513" s="74"/>
      <c r="O513" s="74"/>
      <c r="P513" s="74"/>
      <c r="Q513" s="74"/>
    </row>
    <row r="514" spans="1:17" x14ac:dyDescent="0.3">
      <c r="A514" s="64" t="s">
        <v>1332</v>
      </c>
      <c r="B514" s="85" t="s">
        <v>8</v>
      </c>
      <c r="C514" s="85" t="s">
        <v>1334</v>
      </c>
      <c r="D514" s="86"/>
      <c r="E514" s="91">
        <v>6</v>
      </c>
      <c r="F514" s="91" t="s">
        <v>1072</v>
      </c>
      <c r="G514" s="89"/>
      <c r="M514" s="85">
        <v>30</v>
      </c>
      <c r="N514" s="85" t="s">
        <v>1223</v>
      </c>
      <c r="O514" s="86" t="s">
        <v>120</v>
      </c>
      <c r="P514" s="85" t="s">
        <v>190</v>
      </c>
      <c r="Q514" s="86" t="s">
        <v>82</v>
      </c>
    </row>
    <row r="515" spans="1:17" x14ac:dyDescent="0.3">
      <c r="A515" s="70" t="s">
        <v>1335</v>
      </c>
      <c r="B515" s="71" t="s">
        <v>8</v>
      </c>
      <c r="C515" s="71" t="s">
        <v>1336</v>
      </c>
      <c r="D515" s="71"/>
      <c r="E515" s="71"/>
      <c r="F515" s="71" t="s">
        <v>514</v>
      </c>
      <c r="G515" s="72"/>
      <c r="M515" s="71"/>
      <c r="N515" s="71"/>
      <c r="O515" s="71"/>
      <c r="P515" s="71"/>
      <c r="Q515" s="71"/>
    </row>
    <row r="516" spans="1:17" x14ac:dyDescent="0.3">
      <c r="A516" s="64" t="s">
        <v>1335</v>
      </c>
      <c r="B516" s="85" t="s">
        <v>8</v>
      </c>
      <c r="C516" s="85" t="s">
        <v>1337</v>
      </c>
      <c r="D516" s="86" t="s">
        <v>1310</v>
      </c>
      <c r="E516" s="67">
        <v>4</v>
      </c>
      <c r="F516" s="92" t="s">
        <v>518</v>
      </c>
      <c r="G516" s="89"/>
      <c r="M516" s="85">
        <v>30</v>
      </c>
      <c r="N516" s="85" t="s">
        <v>1223</v>
      </c>
      <c r="O516" s="86" t="s">
        <v>295</v>
      </c>
      <c r="P516" s="85" t="s">
        <v>209</v>
      </c>
      <c r="Q516" s="86" t="s">
        <v>82</v>
      </c>
    </row>
    <row r="517" spans="1:17" x14ac:dyDescent="0.3">
      <c r="A517" s="64" t="s">
        <v>1338</v>
      </c>
      <c r="B517" s="74" t="s">
        <v>8</v>
      </c>
      <c r="C517" s="74" t="s">
        <v>1339</v>
      </c>
      <c r="D517" s="74"/>
      <c r="E517" s="74"/>
      <c r="F517" s="74" t="s">
        <v>521</v>
      </c>
      <c r="G517" s="75"/>
      <c r="M517" s="74"/>
      <c r="N517" s="74"/>
      <c r="O517" s="74"/>
      <c r="P517" s="74"/>
      <c r="Q517" s="74"/>
    </row>
    <row r="518" spans="1:17" x14ac:dyDescent="0.3">
      <c r="A518" s="64" t="s">
        <v>1340</v>
      </c>
      <c r="B518" s="85" t="s">
        <v>8</v>
      </c>
      <c r="C518" s="85" t="s">
        <v>1341</v>
      </c>
      <c r="D518" s="86" t="s">
        <v>1310</v>
      </c>
      <c r="E518" s="67">
        <v>5</v>
      </c>
      <c r="F518" s="92" t="s">
        <v>522</v>
      </c>
      <c r="G518" s="89"/>
      <c r="M518" s="85">
        <v>30</v>
      </c>
      <c r="N518" s="85" t="s">
        <v>1223</v>
      </c>
      <c r="O518" s="86" t="s">
        <v>299</v>
      </c>
      <c r="P518" s="85" t="s">
        <v>399</v>
      </c>
      <c r="Q518" s="86" t="s">
        <v>82</v>
      </c>
    </row>
    <row r="519" spans="1:17" x14ac:dyDescent="0.3">
      <c r="A519" s="70" t="s">
        <v>1342</v>
      </c>
      <c r="B519" s="71" t="s">
        <v>8</v>
      </c>
      <c r="C519" s="71" t="s">
        <v>1343</v>
      </c>
      <c r="D519" s="71"/>
      <c r="E519" s="71"/>
      <c r="F519" s="71" t="s">
        <v>207</v>
      </c>
      <c r="G519" s="72"/>
      <c r="M519" s="71"/>
      <c r="N519" s="71"/>
      <c r="O519" s="71"/>
      <c r="P519" s="71"/>
      <c r="Q519" s="71"/>
    </row>
    <row r="520" spans="1:17" x14ac:dyDescent="0.3">
      <c r="A520" s="64" t="s">
        <v>1342</v>
      </c>
      <c r="B520" s="85" t="s">
        <v>8</v>
      </c>
      <c r="C520" s="85" t="s">
        <v>1345</v>
      </c>
      <c r="D520" s="86" t="s">
        <v>1225</v>
      </c>
      <c r="E520" s="67">
        <v>6</v>
      </c>
      <c r="F520" s="92" t="s">
        <v>212</v>
      </c>
      <c r="G520" s="89"/>
      <c r="M520" s="85">
        <v>30</v>
      </c>
      <c r="N520" s="85" t="s">
        <v>1344</v>
      </c>
      <c r="O520" s="86" t="s">
        <v>46</v>
      </c>
      <c r="P520" s="85" t="s">
        <v>273</v>
      </c>
      <c r="Q520" s="86" t="s">
        <v>48</v>
      </c>
    </row>
    <row r="521" spans="1:17" x14ac:dyDescent="0.3">
      <c r="A521" s="64" t="s">
        <v>1346</v>
      </c>
      <c r="B521" s="85" t="s">
        <v>8</v>
      </c>
      <c r="C521" s="85" t="s">
        <v>1347</v>
      </c>
      <c r="D521" s="86" t="s">
        <v>1225</v>
      </c>
      <c r="E521" s="67">
        <v>5</v>
      </c>
      <c r="F521" s="92" t="s">
        <v>901</v>
      </c>
      <c r="G521" s="89"/>
      <c r="M521" s="85">
        <v>30</v>
      </c>
      <c r="N521" s="85" t="s">
        <v>1344</v>
      </c>
      <c r="O521" s="86" t="s">
        <v>46</v>
      </c>
      <c r="P521" s="85" t="s">
        <v>273</v>
      </c>
      <c r="Q521" s="86" t="s">
        <v>233</v>
      </c>
    </row>
    <row r="522" spans="1:17" x14ac:dyDescent="0.3">
      <c r="A522" s="64" t="s">
        <v>1346</v>
      </c>
      <c r="B522" s="74" t="s">
        <v>8</v>
      </c>
      <c r="C522" s="74" t="s">
        <v>1348</v>
      </c>
      <c r="D522" s="74"/>
      <c r="E522" s="74"/>
      <c r="F522" s="74" t="s">
        <v>899</v>
      </c>
      <c r="G522" s="75"/>
      <c r="M522" s="74"/>
      <c r="N522" s="74"/>
      <c r="O522" s="74"/>
      <c r="P522" s="74"/>
      <c r="Q522" s="74"/>
    </row>
    <row r="523" spans="1:17" x14ac:dyDescent="0.3">
      <c r="A523" s="64" t="s">
        <v>1349</v>
      </c>
      <c r="B523" s="85" t="s">
        <v>8</v>
      </c>
      <c r="C523" s="85" t="s">
        <v>1350</v>
      </c>
      <c r="D523" s="86" t="s">
        <v>1225</v>
      </c>
      <c r="E523" s="67">
        <v>8</v>
      </c>
      <c r="F523" s="92" t="s">
        <v>330</v>
      </c>
      <c r="G523" s="89"/>
      <c r="M523" s="85">
        <v>30</v>
      </c>
      <c r="N523" s="85" t="s">
        <v>1344</v>
      </c>
      <c r="O523" s="86" t="s">
        <v>264</v>
      </c>
      <c r="P523" s="85" t="s">
        <v>444</v>
      </c>
      <c r="Q523" s="86" t="s">
        <v>233</v>
      </c>
    </row>
    <row r="524" spans="1:17" x14ac:dyDescent="0.3">
      <c r="A524" s="70" t="s">
        <v>1351</v>
      </c>
      <c r="B524" s="71" t="s">
        <v>8</v>
      </c>
      <c r="C524" s="71" t="s">
        <v>1352</v>
      </c>
      <c r="D524" s="71"/>
      <c r="E524" s="71"/>
      <c r="F524" s="71" t="s">
        <v>1353</v>
      </c>
      <c r="G524" s="72"/>
      <c r="M524" s="71"/>
      <c r="N524" s="71"/>
      <c r="O524" s="71"/>
      <c r="P524" s="71"/>
      <c r="Q524" s="71"/>
    </row>
    <row r="525" spans="1:17" x14ac:dyDescent="0.3">
      <c r="A525" s="64" t="s">
        <v>1351</v>
      </c>
      <c r="B525" s="85" t="s">
        <v>8</v>
      </c>
      <c r="C525" s="85" t="s">
        <v>1354</v>
      </c>
      <c r="D525" s="86" t="s">
        <v>1225</v>
      </c>
      <c r="E525" s="67">
        <v>7</v>
      </c>
      <c r="F525" s="92" t="s">
        <v>1355</v>
      </c>
      <c r="G525" s="89"/>
      <c r="M525" s="85">
        <v>30</v>
      </c>
      <c r="N525" s="85" t="s">
        <v>1344</v>
      </c>
      <c r="O525" s="86" t="s">
        <v>264</v>
      </c>
      <c r="P525" s="85" t="s">
        <v>273</v>
      </c>
      <c r="Q525" s="86" t="s">
        <v>48</v>
      </c>
    </row>
    <row r="526" spans="1:17" x14ac:dyDescent="0.3">
      <c r="A526" s="64" t="s">
        <v>1356</v>
      </c>
      <c r="B526" s="74" t="s">
        <v>8</v>
      </c>
      <c r="C526" s="74" t="s">
        <v>1357</v>
      </c>
      <c r="D526" s="74"/>
      <c r="E526" s="74"/>
      <c r="F526" s="74" t="s">
        <v>238</v>
      </c>
      <c r="G526" s="75"/>
      <c r="M526" s="74"/>
      <c r="N526" s="74"/>
      <c r="O526" s="74"/>
      <c r="P526" s="74"/>
      <c r="Q526" s="74"/>
    </row>
    <row r="527" spans="1:17" x14ac:dyDescent="0.3">
      <c r="A527" s="64" t="s">
        <v>1358</v>
      </c>
      <c r="B527" s="85" t="s">
        <v>8</v>
      </c>
      <c r="C527" s="85" t="s">
        <v>1359</v>
      </c>
      <c r="D527" s="86" t="s">
        <v>1225</v>
      </c>
      <c r="E527" s="67">
        <v>7</v>
      </c>
      <c r="F527" s="67" t="s">
        <v>319</v>
      </c>
      <c r="G527" s="89"/>
      <c r="M527" s="85">
        <v>30</v>
      </c>
      <c r="N527" s="85" t="s">
        <v>1344</v>
      </c>
      <c r="O527" s="86" t="s">
        <v>425</v>
      </c>
      <c r="P527" s="85" t="s">
        <v>444</v>
      </c>
      <c r="Q527" s="86" t="s">
        <v>48</v>
      </c>
    </row>
    <row r="528" spans="1:17" x14ac:dyDescent="0.3">
      <c r="A528" s="70" t="s">
        <v>1358</v>
      </c>
      <c r="B528" s="71" t="s">
        <v>8</v>
      </c>
      <c r="C528" s="71" t="s">
        <v>1360</v>
      </c>
      <c r="D528" s="71"/>
      <c r="E528" s="71"/>
      <c r="F528" s="71" t="s">
        <v>321</v>
      </c>
      <c r="G528" s="72"/>
      <c r="M528" s="71"/>
      <c r="N528" s="71"/>
      <c r="O528" s="71"/>
      <c r="P528" s="71"/>
      <c r="Q528" s="71"/>
    </row>
    <row r="529" spans="1:17" x14ac:dyDescent="0.3">
      <c r="A529" s="64" t="s">
        <v>1361</v>
      </c>
      <c r="B529" s="85" t="s">
        <v>8</v>
      </c>
      <c r="C529" s="85" t="s">
        <v>1359</v>
      </c>
      <c r="D529" s="86" t="s">
        <v>1225</v>
      </c>
      <c r="E529" s="67">
        <v>8</v>
      </c>
      <c r="F529" s="67" t="s">
        <v>1052</v>
      </c>
      <c r="G529" s="89"/>
      <c r="M529" s="85">
        <v>30</v>
      </c>
      <c r="N529" s="85" t="s">
        <v>1344</v>
      </c>
      <c r="O529" s="86" t="s">
        <v>425</v>
      </c>
      <c r="P529" s="85" t="s">
        <v>444</v>
      </c>
      <c r="Q529" s="86" t="s">
        <v>233</v>
      </c>
    </row>
    <row r="530" spans="1:17" x14ac:dyDescent="0.3">
      <c r="A530" s="64" t="s">
        <v>1361</v>
      </c>
      <c r="B530" s="74" t="s">
        <v>8</v>
      </c>
      <c r="C530" s="74" t="s">
        <v>1360</v>
      </c>
      <c r="D530" s="74"/>
      <c r="E530" s="74"/>
      <c r="F530" s="74" t="s">
        <v>1050</v>
      </c>
      <c r="G530" s="75"/>
      <c r="M530" s="74"/>
      <c r="N530" s="74"/>
      <c r="O530" s="74"/>
      <c r="P530" s="74"/>
      <c r="Q530" s="74"/>
    </row>
    <row r="531" spans="1:17" x14ac:dyDescent="0.3">
      <c r="A531" s="64" t="s">
        <v>1362</v>
      </c>
      <c r="B531" s="85" t="s">
        <v>8</v>
      </c>
      <c r="C531" s="85" t="s">
        <v>1359</v>
      </c>
      <c r="D531" s="86" t="s">
        <v>1225</v>
      </c>
      <c r="E531" s="67">
        <v>9</v>
      </c>
      <c r="F531" s="67" t="s">
        <v>1060</v>
      </c>
      <c r="G531" s="89"/>
      <c r="M531" s="85">
        <v>30</v>
      </c>
      <c r="N531" s="85" t="s">
        <v>1344</v>
      </c>
      <c r="O531" s="86" t="s">
        <v>425</v>
      </c>
      <c r="P531" s="85" t="s">
        <v>444</v>
      </c>
      <c r="Q531" s="86" t="s">
        <v>317</v>
      </c>
    </row>
    <row r="532" spans="1:17" x14ac:dyDescent="0.3">
      <c r="A532" s="70" t="s">
        <v>1362</v>
      </c>
      <c r="B532" s="71" t="s">
        <v>8</v>
      </c>
      <c r="C532" s="71" t="s">
        <v>1360</v>
      </c>
      <c r="D532" s="71"/>
      <c r="E532" s="71"/>
      <c r="F532" s="71" t="s">
        <v>1058</v>
      </c>
      <c r="G532" s="72"/>
      <c r="M532" s="71"/>
      <c r="N532" s="71"/>
      <c r="O532" s="71"/>
      <c r="P532" s="71"/>
      <c r="Q532" s="71"/>
    </row>
    <row r="533" spans="1:17" x14ac:dyDescent="0.3">
      <c r="A533" s="64" t="s">
        <v>1363</v>
      </c>
      <c r="B533" s="85" t="s">
        <v>8</v>
      </c>
      <c r="C533" s="85" t="s">
        <v>1364</v>
      </c>
      <c r="D533" s="86" t="s">
        <v>1225</v>
      </c>
      <c r="E533" s="67">
        <v>7</v>
      </c>
      <c r="F533" s="67" t="s">
        <v>391</v>
      </c>
      <c r="G533" s="89"/>
      <c r="M533" s="85">
        <v>30</v>
      </c>
      <c r="N533" s="85" t="s">
        <v>1344</v>
      </c>
      <c r="O533" s="86" t="s">
        <v>714</v>
      </c>
      <c r="P533" s="85" t="s">
        <v>444</v>
      </c>
      <c r="Q533" s="86" t="s">
        <v>48</v>
      </c>
    </row>
    <row r="534" spans="1:17" x14ac:dyDescent="0.3">
      <c r="A534" s="64" t="s">
        <v>1363</v>
      </c>
      <c r="B534" s="74" t="s">
        <v>8</v>
      </c>
      <c r="C534" s="74" t="s">
        <v>1365</v>
      </c>
      <c r="D534" s="74"/>
      <c r="E534" s="74"/>
      <c r="F534" s="74" t="s">
        <v>389</v>
      </c>
      <c r="G534" s="75"/>
      <c r="M534" s="74"/>
      <c r="N534" s="74"/>
      <c r="O534" s="74"/>
      <c r="P534" s="74"/>
      <c r="Q534" s="74"/>
    </row>
    <row r="535" spans="1:17" x14ac:dyDescent="0.3">
      <c r="A535" s="64" t="s">
        <v>1366</v>
      </c>
      <c r="B535" s="85" t="s">
        <v>8</v>
      </c>
      <c r="C535" s="85" t="s">
        <v>1364</v>
      </c>
      <c r="D535" s="86" t="s">
        <v>1225</v>
      </c>
      <c r="E535" s="87">
        <v>10</v>
      </c>
      <c r="F535" s="87" t="s">
        <v>1070</v>
      </c>
      <c r="G535" s="89"/>
      <c r="M535" s="85">
        <v>30</v>
      </c>
      <c r="N535" s="85" t="s">
        <v>1344</v>
      </c>
      <c r="O535" s="86" t="s">
        <v>714</v>
      </c>
      <c r="P535" s="85" t="s">
        <v>444</v>
      </c>
      <c r="Q535" s="86" t="s">
        <v>233</v>
      </c>
    </row>
    <row r="536" spans="1:17" x14ac:dyDescent="0.3">
      <c r="A536" s="70" t="s">
        <v>1366</v>
      </c>
      <c r="B536" s="71" t="s">
        <v>8</v>
      </c>
      <c r="C536" s="71" t="s">
        <v>1365</v>
      </c>
      <c r="D536" s="71"/>
      <c r="E536" s="71"/>
      <c r="F536" s="71" t="s">
        <v>1068</v>
      </c>
      <c r="G536" s="72"/>
      <c r="M536" s="71"/>
      <c r="N536" s="71"/>
      <c r="O536" s="71"/>
      <c r="P536" s="71"/>
      <c r="Q536" s="71"/>
    </row>
    <row r="537" spans="1:17" x14ac:dyDescent="0.3">
      <c r="A537" s="64" t="s">
        <v>1367</v>
      </c>
      <c r="B537" s="85" t="s">
        <v>8</v>
      </c>
      <c r="C537" s="85" t="s">
        <v>1364</v>
      </c>
      <c r="D537" s="86" t="s">
        <v>1225</v>
      </c>
      <c r="E537" s="87">
        <v>11</v>
      </c>
      <c r="F537" s="87" t="s">
        <v>700</v>
      </c>
      <c r="G537" s="89"/>
      <c r="M537" s="85">
        <v>30</v>
      </c>
      <c r="N537" s="85" t="s">
        <v>1344</v>
      </c>
      <c r="O537" s="86" t="s">
        <v>714</v>
      </c>
      <c r="P537" s="85" t="s">
        <v>444</v>
      </c>
      <c r="Q537" s="86" t="s">
        <v>317</v>
      </c>
    </row>
    <row r="538" spans="1:17" x14ac:dyDescent="0.3">
      <c r="A538" s="64" t="s">
        <v>1367</v>
      </c>
      <c r="B538" s="74" t="s">
        <v>8</v>
      </c>
      <c r="C538" s="74" t="s">
        <v>1365</v>
      </c>
      <c r="D538" s="74"/>
      <c r="E538" s="74"/>
      <c r="F538" s="74" t="s">
        <v>643</v>
      </c>
      <c r="G538" s="75"/>
      <c r="M538" s="74"/>
      <c r="N538" s="74"/>
      <c r="O538" s="74"/>
      <c r="P538" s="74"/>
      <c r="Q538" s="74"/>
    </row>
    <row r="539" spans="1:17" x14ac:dyDescent="0.3">
      <c r="A539" s="64" t="s">
        <v>1368</v>
      </c>
      <c r="B539" s="93" t="s">
        <v>205</v>
      </c>
      <c r="C539" s="93" t="s">
        <v>1369</v>
      </c>
      <c r="D539" s="94" t="s">
        <v>211</v>
      </c>
      <c r="E539" s="95">
        <v>3</v>
      </c>
      <c r="F539" s="96" t="s">
        <v>1370</v>
      </c>
      <c r="G539" s="97"/>
      <c r="M539" s="93">
        <v>30</v>
      </c>
      <c r="N539" s="93" t="s">
        <v>1344</v>
      </c>
      <c r="O539" s="94" t="s">
        <v>37</v>
      </c>
      <c r="P539" s="93" t="s">
        <v>273</v>
      </c>
      <c r="Q539" s="94" t="s">
        <v>48</v>
      </c>
    </row>
    <row r="540" spans="1:17" x14ac:dyDescent="0.3">
      <c r="A540" s="70" t="s">
        <v>1368</v>
      </c>
      <c r="B540" s="71" t="s">
        <v>205</v>
      </c>
      <c r="C540" s="71" t="s">
        <v>1371</v>
      </c>
      <c r="D540" s="71"/>
      <c r="E540" s="71"/>
      <c r="F540" s="71" t="s">
        <v>1372</v>
      </c>
      <c r="G540" s="72"/>
      <c r="M540" s="71"/>
      <c r="N540" s="71"/>
      <c r="O540" s="71"/>
      <c r="P540" s="71"/>
      <c r="Q540" s="71"/>
    </row>
    <row r="541" spans="1:17" x14ac:dyDescent="0.3">
      <c r="A541" s="64" t="s">
        <v>1368</v>
      </c>
      <c r="B541" s="93" t="s">
        <v>205</v>
      </c>
      <c r="C541" s="93" t="s">
        <v>1373</v>
      </c>
      <c r="D541" s="94" t="s">
        <v>211</v>
      </c>
      <c r="E541" s="95">
        <v>3</v>
      </c>
      <c r="F541" s="96" t="s">
        <v>1370</v>
      </c>
      <c r="G541" s="97"/>
      <c r="M541" s="93"/>
      <c r="N541" s="93"/>
      <c r="O541" s="94"/>
      <c r="P541" s="93"/>
      <c r="Q541" s="94"/>
    </row>
    <row r="542" spans="1:17" x14ac:dyDescent="0.3">
      <c r="A542" s="64" t="s">
        <v>1374</v>
      </c>
      <c r="B542" s="93" t="s">
        <v>205</v>
      </c>
      <c r="C542" s="93" t="s">
        <v>1375</v>
      </c>
      <c r="D542" s="94" t="s">
        <v>211</v>
      </c>
      <c r="E542" s="95">
        <v>1</v>
      </c>
      <c r="F542" s="96" t="s">
        <v>938</v>
      </c>
      <c r="G542" s="97"/>
      <c r="M542" s="93">
        <v>30</v>
      </c>
      <c r="N542" s="93" t="s">
        <v>1344</v>
      </c>
      <c r="O542" s="94" t="s">
        <v>37</v>
      </c>
      <c r="P542" s="93" t="s">
        <v>273</v>
      </c>
      <c r="Q542" s="94" t="s">
        <v>233</v>
      </c>
    </row>
    <row r="543" spans="1:17" x14ac:dyDescent="0.3">
      <c r="A543" s="64" t="s">
        <v>1374</v>
      </c>
      <c r="B543" s="74" t="s">
        <v>205</v>
      </c>
      <c r="C543" s="74" t="s">
        <v>1376</v>
      </c>
      <c r="D543" s="74"/>
      <c r="E543" s="74"/>
      <c r="F543" s="74" t="s">
        <v>1135</v>
      </c>
      <c r="G543" s="75"/>
      <c r="M543" s="74"/>
      <c r="N543" s="74"/>
      <c r="O543" s="74"/>
      <c r="P543" s="74"/>
      <c r="Q543" s="74"/>
    </row>
    <row r="544" spans="1:17" x14ac:dyDescent="0.3">
      <c r="A544" s="64" t="s">
        <v>1377</v>
      </c>
      <c r="B544" s="93" t="s">
        <v>205</v>
      </c>
      <c r="C544" s="93" t="s">
        <v>1378</v>
      </c>
      <c r="D544" s="94" t="s">
        <v>211</v>
      </c>
      <c r="E544" s="95">
        <v>4</v>
      </c>
      <c r="F544" s="95" t="s">
        <v>1379</v>
      </c>
      <c r="G544" s="97"/>
      <c r="M544" s="93">
        <v>30</v>
      </c>
      <c r="N544" s="93" t="s">
        <v>1344</v>
      </c>
      <c r="O544" s="94" t="s">
        <v>286</v>
      </c>
      <c r="P544" s="93" t="s">
        <v>273</v>
      </c>
      <c r="Q544" s="94" t="s">
        <v>48</v>
      </c>
    </row>
    <row r="545" spans="1:17" x14ac:dyDescent="0.3">
      <c r="A545" s="70" t="s">
        <v>1377</v>
      </c>
      <c r="B545" s="71" t="s">
        <v>205</v>
      </c>
      <c r="C545" s="71" t="s">
        <v>1380</v>
      </c>
      <c r="D545" s="71"/>
      <c r="E545" s="71"/>
      <c r="F545" s="71" t="s">
        <v>1381</v>
      </c>
      <c r="G545" s="72"/>
      <c r="M545" s="71"/>
      <c r="N545" s="71"/>
      <c r="O545" s="71"/>
      <c r="P545" s="71"/>
      <c r="Q545" s="71"/>
    </row>
    <row r="546" spans="1:17" x14ac:dyDescent="0.3">
      <c r="A546" s="64" t="s">
        <v>1382</v>
      </c>
      <c r="B546" s="93" t="s">
        <v>205</v>
      </c>
      <c r="C546" s="93" t="s">
        <v>1383</v>
      </c>
      <c r="D546" s="94" t="s">
        <v>211</v>
      </c>
      <c r="E546" s="95">
        <v>1</v>
      </c>
      <c r="F546" s="95" t="s">
        <v>20</v>
      </c>
      <c r="G546" s="97"/>
      <c r="M546" s="93">
        <v>30</v>
      </c>
      <c r="N546" s="93" t="s">
        <v>1344</v>
      </c>
      <c r="O546" s="94" t="s">
        <v>286</v>
      </c>
      <c r="P546" s="93" t="s">
        <v>273</v>
      </c>
      <c r="Q546" s="94" t="s">
        <v>233</v>
      </c>
    </row>
    <row r="547" spans="1:17" x14ac:dyDescent="0.3">
      <c r="A547" s="64" t="s">
        <v>1382</v>
      </c>
      <c r="B547" s="74" t="s">
        <v>205</v>
      </c>
      <c r="C547" s="74" t="s">
        <v>1384</v>
      </c>
      <c r="D547" s="74"/>
      <c r="E547" s="74"/>
      <c r="F547" s="74" t="s">
        <v>24</v>
      </c>
      <c r="G547" s="75"/>
      <c r="M547" s="74"/>
      <c r="N547" s="74"/>
      <c r="O547" s="74"/>
      <c r="P547" s="74"/>
      <c r="Q547" s="74"/>
    </row>
    <row r="548" spans="1:17" x14ac:dyDescent="0.3">
      <c r="A548" s="64" t="s">
        <v>1385</v>
      </c>
      <c r="B548" s="93" t="s">
        <v>205</v>
      </c>
      <c r="C548" s="93" t="s">
        <v>1386</v>
      </c>
      <c r="D548" s="94" t="s">
        <v>211</v>
      </c>
      <c r="E548" s="95">
        <v>2</v>
      </c>
      <c r="F548" s="95" t="s">
        <v>477</v>
      </c>
      <c r="G548" s="97"/>
      <c r="M548" s="93">
        <v>30</v>
      </c>
      <c r="N548" s="93" t="s">
        <v>1344</v>
      </c>
      <c r="O548" s="94" t="s">
        <v>1324</v>
      </c>
      <c r="P548" s="93" t="s">
        <v>444</v>
      </c>
      <c r="Q548" s="94" t="s">
        <v>48</v>
      </c>
    </row>
    <row r="549" spans="1:17" x14ac:dyDescent="0.3">
      <c r="A549" s="70" t="s">
        <v>1385</v>
      </c>
      <c r="B549" s="71" t="s">
        <v>205</v>
      </c>
      <c r="C549" s="71" t="s">
        <v>1387</v>
      </c>
      <c r="D549" s="71"/>
      <c r="E549" s="71"/>
      <c r="F549" s="71" t="s">
        <v>1388</v>
      </c>
      <c r="G549" s="72"/>
      <c r="M549" s="71"/>
      <c r="N549" s="71"/>
      <c r="O549" s="71"/>
      <c r="P549" s="71"/>
      <c r="Q549" s="71"/>
    </row>
    <row r="550" spans="1:17" x14ac:dyDescent="0.3">
      <c r="A550" s="64" t="s">
        <v>1389</v>
      </c>
      <c r="B550" s="93" t="s">
        <v>205</v>
      </c>
      <c r="C550" s="93" t="s">
        <v>1390</v>
      </c>
      <c r="D550" s="94" t="s">
        <v>211</v>
      </c>
      <c r="E550" s="95">
        <v>3</v>
      </c>
      <c r="F550" s="95" t="s">
        <v>30</v>
      </c>
      <c r="G550" s="97"/>
      <c r="M550" s="93">
        <v>30</v>
      </c>
      <c r="N550" s="93" t="s">
        <v>1344</v>
      </c>
      <c r="O550" s="94" t="s">
        <v>1324</v>
      </c>
      <c r="P550" s="93" t="s">
        <v>444</v>
      </c>
      <c r="Q550" s="94" t="s">
        <v>233</v>
      </c>
    </row>
    <row r="551" spans="1:17" x14ac:dyDescent="0.3">
      <c r="A551" s="64" t="s">
        <v>1389</v>
      </c>
      <c r="B551" s="74" t="s">
        <v>205</v>
      </c>
      <c r="C551" s="74" t="s">
        <v>1387</v>
      </c>
      <c r="D551" s="74"/>
      <c r="E551" s="74"/>
      <c r="F551" s="74" t="s">
        <v>1287</v>
      </c>
      <c r="G551" s="75"/>
      <c r="M551" s="74"/>
      <c r="N551" s="74"/>
      <c r="O551" s="74"/>
      <c r="P551" s="74"/>
      <c r="Q551" s="74"/>
    </row>
    <row r="552" spans="1:17" x14ac:dyDescent="0.3">
      <c r="A552" s="64" t="s">
        <v>1391</v>
      </c>
      <c r="B552" s="93" t="s">
        <v>205</v>
      </c>
      <c r="C552" s="93" t="s">
        <v>1392</v>
      </c>
      <c r="D552" s="94" t="s">
        <v>211</v>
      </c>
      <c r="E552" s="95">
        <v>3</v>
      </c>
      <c r="F552" s="95" t="s">
        <v>1126</v>
      </c>
      <c r="G552" s="97"/>
      <c r="M552" s="93">
        <v>30</v>
      </c>
      <c r="N552" s="93" t="s">
        <v>1344</v>
      </c>
      <c r="O552" s="94" t="s">
        <v>1324</v>
      </c>
      <c r="P552" s="93" t="s">
        <v>444</v>
      </c>
      <c r="Q552" s="94" t="s">
        <v>317</v>
      </c>
    </row>
    <row r="553" spans="1:17" x14ac:dyDescent="0.3">
      <c r="A553" s="70" t="s">
        <v>1391</v>
      </c>
      <c r="B553" s="71" t="s">
        <v>205</v>
      </c>
      <c r="C553" s="71" t="s">
        <v>1387</v>
      </c>
      <c r="D553" s="71"/>
      <c r="E553" s="71"/>
      <c r="F553" s="71" t="s">
        <v>1294</v>
      </c>
      <c r="G553" s="72"/>
      <c r="M553" s="71"/>
      <c r="N553" s="71"/>
      <c r="O553" s="71"/>
      <c r="P553" s="71"/>
      <c r="Q553" s="71"/>
    </row>
    <row r="554" spans="1:17" x14ac:dyDescent="0.3">
      <c r="A554" s="64" t="s">
        <v>1393</v>
      </c>
      <c r="B554" s="93" t="s">
        <v>205</v>
      </c>
      <c r="C554" s="93" t="s">
        <v>1394</v>
      </c>
      <c r="D554" s="94" t="s">
        <v>211</v>
      </c>
      <c r="E554" s="95">
        <v>3</v>
      </c>
      <c r="F554" s="95" t="s">
        <v>345</v>
      </c>
      <c r="G554" s="97"/>
      <c r="M554" s="93">
        <v>30</v>
      </c>
      <c r="N554" s="93" t="s">
        <v>1344</v>
      </c>
      <c r="O554" s="94" t="s">
        <v>782</v>
      </c>
      <c r="P554" s="93" t="s">
        <v>444</v>
      </c>
      <c r="Q554" s="94" t="s">
        <v>48</v>
      </c>
    </row>
    <row r="555" spans="1:17" x14ac:dyDescent="0.3">
      <c r="A555" s="64" t="s">
        <v>1393</v>
      </c>
      <c r="B555" s="74" t="s">
        <v>205</v>
      </c>
      <c r="C555" s="74" t="s">
        <v>1395</v>
      </c>
      <c r="D555" s="74"/>
      <c r="E555" s="74"/>
      <c r="F555" s="74" t="s">
        <v>347</v>
      </c>
      <c r="G555" s="75"/>
      <c r="M555" s="74"/>
      <c r="N555" s="74"/>
      <c r="O555" s="74"/>
      <c r="P555" s="74"/>
      <c r="Q555" s="74"/>
    </row>
    <row r="556" spans="1:17" x14ac:dyDescent="0.3">
      <c r="A556" s="64" t="s">
        <v>1396</v>
      </c>
      <c r="B556" s="93" t="s">
        <v>205</v>
      </c>
      <c r="C556" s="93" t="s">
        <v>1397</v>
      </c>
      <c r="D556" s="94" t="s">
        <v>211</v>
      </c>
      <c r="E556" s="95">
        <v>4</v>
      </c>
      <c r="F556" s="95" t="s">
        <v>308</v>
      </c>
      <c r="G556" s="97"/>
      <c r="M556" s="93">
        <v>30</v>
      </c>
      <c r="N556" s="93" t="s">
        <v>1344</v>
      </c>
      <c r="O556" s="94" t="s">
        <v>782</v>
      </c>
      <c r="P556" s="93" t="s">
        <v>444</v>
      </c>
      <c r="Q556" s="94" t="s">
        <v>233</v>
      </c>
    </row>
    <row r="557" spans="1:17" x14ac:dyDescent="0.3">
      <c r="A557" s="70" t="s">
        <v>1396</v>
      </c>
      <c r="B557" s="71" t="s">
        <v>205</v>
      </c>
      <c r="C557" s="71" t="s">
        <v>1395</v>
      </c>
      <c r="D557" s="71"/>
      <c r="E557" s="71"/>
      <c r="F557" s="71" t="s">
        <v>305</v>
      </c>
      <c r="G557" s="72"/>
      <c r="M557" s="71"/>
      <c r="N557" s="71"/>
      <c r="O557" s="71"/>
      <c r="P557" s="71"/>
      <c r="Q557" s="71"/>
    </row>
    <row r="558" spans="1:17" x14ac:dyDescent="0.3">
      <c r="A558" s="64" t="s">
        <v>1398</v>
      </c>
      <c r="B558" s="93" t="s">
        <v>205</v>
      </c>
      <c r="C558" s="93" t="s">
        <v>1399</v>
      </c>
      <c r="D558" s="94" t="s">
        <v>211</v>
      </c>
      <c r="E558" s="95">
        <v>4</v>
      </c>
      <c r="F558" s="95" t="s">
        <v>1230</v>
      </c>
      <c r="G558" s="97"/>
      <c r="M558" s="93">
        <v>30</v>
      </c>
      <c r="N558" s="93" t="s">
        <v>1344</v>
      </c>
      <c r="O558" s="94" t="s">
        <v>782</v>
      </c>
      <c r="P558" s="93" t="s">
        <v>444</v>
      </c>
      <c r="Q558" s="94" t="s">
        <v>317</v>
      </c>
    </row>
    <row r="559" spans="1:17" x14ac:dyDescent="0.3">
      <c r="A559" s="64" t="s">
        <v>1398</v>
      </c>
      <c r="B559" s="74" t="s">
        <v>205</v>
      </c>
      <c r="C559" s="74" t="s">
        <v>1395</v>
      </c>
      <c r="D559" s="74"/>
      <c r="E559" s="74"/>
      <c r="F559" s="74" t="s">
        <v>1228</v>
      </c>
      <c r="G559" s="75"/>
      <c r="M559" s="74"/>
      <c r="N559" s="74"/>
      <c r="O559" s="74"/>
      <c r="P559" s="74"/>
      <c r="Q559" s="74"/>
    </row>
    <row r="560" spans="1:17" x14ac:dyDescent="0.3">
      <c r="A560" s="64" t="s">
        <v>1400</v>
      </c>
      <c r="B560" s="85" t="s">
        <v>8</v>
      </c>
      <c r="C560" s="85" t="s">
        <v>1401</v>
      </c>
      <c r="D560" s="86" t="s">
        <v>1310</v>
      </c>
      <c r="E560" s="67">
        <v>1</v>
      </c>
      <c r="F560" s="92" t="s">
        <v>20</v>
      </c>
      <c r="G560" s="89"/>
      <c r="M560" s="85">
        <v>30</v>
      </c>
      <c r="N560" s="85" t="s">
        <v>1344</v>
      </c>
      <c r="O560" s="86" t="s">
        <v>295</v>
      </c>
      <c r="P560" s="85" t="s">
        <v>190</v>
      </c>
      <c r="Q560" s="86" t="s">
        <v>82</v>
      </c>
    </row>
    <row r="561" spans="1:17" x14ac:dyDescent="0.3">
      <c r="A561" s="70" t="s">
        <v>1400</v>
      </c>
      <c r="B561" s="71" t="s">
        <v>8</v>
      </c>
      <c r="C561" s="71" t="s">
        <v>1402</v>
      </c>
      <c r="D561" s="71"/>
      <c r="E561" s="71"/>
      <c r="F561" s="71" t="s">
        <v>24</v>
      </c>
      <c r="G561" s="72"/>
      <c r="M561" s="71"/>
      <c r="N561" s="71"/>
      <c r="O561" s="71"/>
      <c r="P561" s="71"/>
      <c r="Q561" s="71"/>
    </row>
    <row r="562" spans="1:17" x14ac:dyDescent="0.3">
      <c r="A562" s="64" t="s">
        <v>1403</v>
      </c>
      <c r="B562" s="85" t="s">
        <v>8</v>
      </c>
      <c r="C562" s="85" t="s">
        <v>1401</v>
      </c>
      <c r="D562" s="86" t="s">
        <v>1310</v>
      </c>
      <c r="E562" s="67">
        <v>2</v>
      </c>
      <c r="F562" s="92" t="s">
        <v>477</v>
      </c>
      <c r="G562" s="89"/>
      <c r="M562" s="85">
        <v>30</v>
      </c>
      <c r="N562" s="85" t="s">
        <v>1344</v>
      </c>
      <c r="O562" s="86" t="s">
        <v>299</v>
      </c>
      <c r="P562" s="85" t="s">
        <v>190</v>
      </c>
      <c r="Q562" s="86" t="s">
        <v>82</v>
      </c>
    </row>
    <row r="563" spans="1:17" x14ac:dyDescent="0.3">
      <c r="A563" s="64" t="s">
        <v>1403</v>
      </c>
      <c r="B563" s="74" t="s">
        <v>8</v>
      </c>
      <c r="C563" s="74" t="s">
        <v>1404</v>
      </c>
      <c r="D563" s="74"/>
      <c r="E563" s="74"/>
      <c r="F563" s="74" t="s">
        <v>1388</v>
      </c>
      <c r="G563" s="75"/>
      <c r="M563" s="74"/>
      <c r="N563" s="74"/>
      <c r="O563" s="74"/>
      <c r="P563" s="74"/>
      <c r="Q563" s="74"/>
    </row>
    <row r="564" spans="1:17" x14ac:dyDescent="0.3">
      <c r="A564" s="64" t="s">
        <v>1405</v>
      </c>
      <c r="B564" s="98" t="s">
        <v>1407</v>
      </c>
      <c r="C564" s="98" t="s">
        <v>1408</v>
      </c>
      <c r="D564" s="99" t="s">
        <v>1409</v>
      </c>
      <c r="E564" s="100">
        <v>5</v>
      </c>
      <c r="F564" s="100" t="s">
        <v>1276</v>
      </c>
      <c r="G564" s="101"/>
      <c r="M564" s="98">
        <v>30</v>
      </c>
      <c r="N564" s="98" t="s">
        <v>1406</v>
      </c>
      <c r="O564" s="99" t="s">
        <v>46</v>
      </c>
      <c r="P564" s="98" t="s">
        <v>540</v>
      </c>
      <c r="Q564" s="99" t="s">
        <v>86</v>
      </c>
    </row>
    <row r="565" spans="1:17" x14ac:dyDescent="0.3">
      <c r="A565" s="64" t="s">
        <v>1410</v>
      </c>
      <c r="B565" s="98" t="s">
        <v>1407</v>
      </c>
      <c r="C565" s="98" t="s">
        <v>1412</v>
      </c>
      <c r="D565" s="99" t="s">
        <v>1413</v>
      </c>
      <c r="E565" s="100">
        <v>3</v>
      </c>
      <c r="F565" s="100" t="s">
        <v>28</v>
      </c>
      <c r="G565" s="101"/>
      <c r="M565" s="98">
        <v>30</v>
      </c>
      <c r="N565" s="98" t="s">
        <v>1406</v>
      </c>
      <c r="O565" s="99" t="s">
        <v>1411</v>
      </c>
      <c r="P565" s="98" t="s">
        <v>540</v>
      </c>
      <c r="Q565" s="99" t="s">
        <v>214</v>
      </c>
    </row>
    <row r="566" spans="1:17" x14ac:dyDescent="0.3">
      <c r="A566" s="64" t="s">
        <v>1414</v>
      </c>
      <c r="B566" s="98" t="s">
        <v>1407</v>
      </c>
      <c r="C566" s="98" t="s">
        <v>1415</v>
      </c>
      <c r="D566" s="99" t="s">
        <v>1409</v>
      </c>
      <c r="E566" s="100">
        <v>4</v>
      </c>
      <c r="F566" s="100" t="s">
        <v>1230</v>
      </c>
      <c r="G566" s="101"/>
      <c r="M566" s="98">
        <v>30</v>
      </c>
      <c r="N566" s="98" t="s">
        <v>1406</v>
      </c>
      <c r="O566" s="99" t="s">
        <v>64</v>
      </c>
      <c r="P566" s="98" t="s">
        <v>540</v>
      </c>
      <c r="Q566" s="99" t="s">
        <v>86</v>
      </c>
    </row>
    <row r="567" spans="1:17" x14ac:dyDescent="0.3">
      <c r="A567" s="70" t="s">
        <v>1416</v>
      </c>
      <c r="B567" s="71" t="s">
        <v>1407</v>
      </c>
      <c r="C567" s="71" t="s">
        <v>1417</v>
      </c>
      <c r="D567" s="71"/>
      <c r="E567" s="71"/>
      <c r="F567" s="71" t="s">
        <v>305</v>
      </c>
      <c r="G567" s="72"/>
      <c r="M567" s="71"/>
      <c r="N567" s="71"/>
      <c r="O567" s="71"/>
      <c r="P567" s="71"/>
      <c r="Q567" s="71"/>
    </row>
    <row r="568" spans="1:17" x14ac:dyDescent="0.3">
      <c r="A568" s="64" t="s">
        <v>1416</v>
      </c>
      <c r="B568" s="98" t="s">
        <v>1407</v>
      </c>
      <c r="C568" s="98" t="s">
        <v>1418</v>
      </c>
      <c r="D568" s="99" t="s">
        <v>1409</v>
      </c>
      <c r="E568" s="102">
        <v>4</v>
      </c>
      <c r="F568" s="102" t="s">
        <v>308</v>
      </c>
      <c r="G568" s="101"/>
      <c r="M568" s="98">
        <v>30</v>
      </c>
      <c r="N568" s="98" t="s">
        <v>1406</v>
      </c>
      <c r="O568" s="99" t="s">
        <v>37</v>
      </c>
      <c r="P568" s="98" t="s">
        <v>540</v>
      </c>
      <c r="Q568" s="99" t="s">
        <v>86</v>
      </c>
    </row>
    <row r="569" spans="1:17" x14ac:dyDescent="0.3">
      <c r="A569" s="64" t="s">
        <v>1419</v>
      </c>
      <c r="B569" s="74"/>
      <c r="C569" s="74" t="s">
        <v>1420</v>
      </c>
      <c r="D569" s="74"/>
      <c r="E569" s="74"/>
      <c r="F569" s="74"/>
      <c r="G569" s="75" t="s">
        <v>1141</v>
      </c>
      <c r="M569" s="74"/>
      <c r="N569" s="74"/>
      <c r="O569" s="74"/>
      <c r="P569" s="74"/>
      <c r="Q569" s="74"/>
    </row>
    <row r="570" spans="1:17" x14ac:dyDescent="0.3">
      <c r="A570" s="70" t="s">
        <v>1421</v>
      </c>
      <c r="B570" s="71"/>
      <c r="C570" s="71" t="s">
        <v>1422</v>
      </c>
      <c r="D570" s="71"/>
      <c r="E570" s="71"/>
      <c r="F570" s="71"/>
      <c r="G570" s="72" t="s">
        <v>1423</v>
      </c>
      <c r="M570" s="71"/>
      <c r="N570" s="71"/>
      <c r="O570" s="71"/>
      <c r="P570" s="71"/>
      <c r="Q570" s="71"/>
    </row>
    <row r="571" spans="1:17" x14ac:dyDescent="0.3">
      <c r="A571" s="64" t="s">
        <v>1424</v>
      </c>
      <c r="B571" s="81" t="s">
        <v>11</v>
      </c>
      <c r="C571" s="81" t="s">
        <v>1426</v>
      </c>
      <c r="D571" s="82" t="s">
        <v>1427</v>
      </c>
      <c r="E571" s="83">
        <v>2</v>
      </c>
      <c r="F571" s="83" t="s">
        <v>26</v>
      </c>
      <c r="G571" s="84"/>
      <c r="M571" s="81">
        <v>30</v>
      </c>
      <c r="N571" s="81" t="s">
        <v>1425</v>
      </c>
      <c r="O571" s="82" t="s">
        <v>415</v>
      </c>
      <c r="P571" s="82" t="s">
        <v>540</v>
      </c>
      <c r="Q571" s="82" t="s">
        <v>48</v>
      </c>
    </row>
    <row r="572" spans="1:17" x14ac:dyDescent="0.3">
      <c r="A572" s="64" t="s">
        <v>1428</v>
      </c>
      <c r="B572" s="74" t="s">
        <v>11</v>
      </c>
      <c r="C572" s="74" t="s">
        <v>1429</v>
      </c>
      <c r="D572" s="74"/>
      <c r="E572" s="74"/>
      <c r="F572" s="74" t="s">
        <v>1430</v>
      </c>
      <c r="G572" s="75"/>
      <c r="M572" s="74"/>
      <c r="N572" s="74"/>
      <c r="O572" s="74"/>
      <c r="P572" s="74"/>
      <c r="Q572" s="74"/>
    </row>
    <row r="573" spans="1:17" x14ac:dyDescent="0.3">
      <c r="A573" s="70" t="s">
        <v>1431</v>
      </c>
      <c r="B573" s="71" t="s">
        <v>11</v>
      </c>
      <c r="C573" s="71" t="s">
        <v>1432</v>
      </c>
      <c r="D573" s="71"/>
      <c r="E573" s="71"/>
      <c r="F573" s="71" t="s">
        <v>34</v>
      </c>
      <c r="G573" s="72"/>
      <c r="M573" s="71"/>
      <c r="N573" s="71"/>
      <c r="O573" s="71"/>
      <c r="P573" s="71"/>
      <c r="Q573" s="71"/>
    </row>
    <row r="574" spans="1:17" x14ac:dyDescent="0.3">
      <c r="A574" s="64" t="s">
        <v>1431</v>
      </c>
      <c r="B574" s="81" t="s">
        <v>11</v>
      </c>
      <c r="C574" s="81" t="s">
        <v>1433</v>
      </c>
      <c r="D574" s="82" t="s">
        <v>1427</v>
      </c>
      <c r="E574" s="83">
        <v>2</v>
      </c>
      <c r="F574" s="83" t="s">
        <v>36</v>
      </c>
      <c r="G574" s="84"/>
      <c r="M574" s="81">
        <v>30</v>
      </c>
      <c r="N574" s="81" t="s">
        <v>1425</v>
      </c>
      <c r="O574" s="82" t="s">
        <v>546</v>
      </c>
      <c r="P574" s="82" t="s">
        <v>540</v>
      </c>
      <c r="Q574" s="82" t="s">
        <v>48</v>
      </c>
    </row>
    <row r="575" spans="1:17" x14ac:dyDescent="0.3">
      <c r="A575" s="64" t="s">
        <v>1434</v>
      </c>
      <c r="B575" s="74" t="s">
        <v>11</v>
      </c>
      <c r="C575" s="74" t="s">
        <v>1435</v>
      </c>
      <c r="D575" s="74"/>
      <c r="E575" s="74"/>
      <c r="F575" s="74" t="s">
        <v>340</v>
      </c>
      <c r="G575" s="75"/>
      <c r="M575" s="74"/>
      <c r="N575" s="74"/>
      <c r="O575" s="74"/>
      <c r="P575" s="74"/>
      <c r="Q575" s="74"/>
    </row>
    <row r="576" spans="1:17" x14ac:dyDescent="0.3">
      <c r="A576" s="64" t="s">
        <v>1434</v>
      </c>
      <c r="B576" s="81" t="s">
        <v>11</v>
      </c>
      <c r="C576" s="81" t="s">
        <v>1436</v>
      </c>
      <c r="D576" s="82" t="s">
        <v>1427</v>
      </c>
      <c r="E576" s="83">
        <v>2</v>
      </c>
      <c r="F576" s="83" t="s">
        <v>339</v>
      </c>
      <c r="G576" s="84"/>
      <c r="M576" s="81">
        <v>30</v>
      </c>
      <c r="N576" s="81" t="s">
        <v>1425</v>
      </c>
      <c r="O576" s="82" t="s">
        <v>854</v>
      </c>
      <c r="P576" s="82" t="s">
        <v>540</v>
      </c>
      <c r="Q576" s="82" t="s">
        <v>48</v>
      </c>
    </row>
    <row r="577" spans="1:17" x14ac:dyDescent="0.3">
      <c r="A577" s="70" t="s">
        <v>1437</v>
      </c>
      <c r="B577" s="71" t="s">
        <v>11</v>
      </c>
      <c r="C577" s="71" t="s">
        <v>1438</v>
      </c>
      <c r="D577" s="71"/>
      <c r="E577" s="71"/>
      <c r="F577" s="71" t="s">
        <v>24</v>
      </c>
      <c r="G577" s="72"/>
      <c r="M577" s="71"/>
      <c r="N577" s="71"/>
      <c r="O577" s="71"/>
      <c r="P577" s="71"/>
      <c r="Q577" s="71"/>
    </row>
    <row r="578" spans="1:17" x14ac:dyDescent="0.3">
      <c r="A578" s="64" t="s">
        <v>1437</v>
      </c>
      <c r="B578" s="81" t="s">
        <v>11</v>
      </c>
      <c r="C578" s="81" t="s">
        <v>1440</v>
      </c>
      <c r="D578" s="82" t="s">
        <v>1427</v>
      </c>
      <c r="E578" s="83">
        <v>1</v>
      </c>
      <c r="F578" s="83" t="s">
        <v>20</v>
      </c>
      <c r="G578" s="84"/>
      <c r="M578" s="81">
        <v>30</v>
      </c>
      <c r="N578" s="81" t="s">
        <v>1439</v>
      </c>
      <c r="O578" s="82" t="s">
        <v>46</v>
      </c>
      <c r="P578" s="82" t="s">
        <v>540</v>
      </c>
      <c r="Q578" s="82" t="s">
        <v>48</v>
      </c>
    </row>
    <row r="579" spans="1:17" x14ac:dyDescent="0.3">
      <c r="A579" s="64" t="s">
        <v>1441</v>
      </c>
      <c r="B579" s="74" t="s">
        <v>11</v>
      </c>
      <c r="C579" s="74" t="s">
        <v>1442</v>
      </c>
      <c r="D579" s="74"/>
      <c r="E579" s="74"/>
      <c r="F579" s="74" t="s">
        <v>1388</v>
      </c>
      <c r="G579" s="75"/>
      <c r="M579" s="74"/>
      <c r="N579" s="74"/>
      <c r="O579" s="74"/>
      <c r="P579" s="74"/>
      <c r="Q579" s="74"/>
    </row>
    <row r="580" spans="1:17" x14ac:dyDescent="0.3">
      <c r="A580" s="64" t="s">
        <v>1441</v>
      </c>
      <c r="B580" s="81" t="s">
        <v>11</v>
      </c>
      <c r="C580" s="81" t="s">
        <v>1443</v>
      </c>
      <c r="D580" s="82" t="s">
        <v>1427</v>
      </c>
      <c r="E580" s="83">
        <v>2</v>
      </c>
      <c r="F580" s="83" t="s">
        <v>477</v>
      </c>
      <c r="G580" s="84"/>
      <c r="M580" s="81">
        <v>30</v>
      </c>
      <c r="N580" s="81" t="s">
        <v>1439</v>
      </c>
      <c r="O580" s="82" t="s">
        <v>46</v>
      </c>
      <c r="P580" s="82" t="s">
        <v>540</v>
      </c>
      <c r="Q580" s="82" t="s">
        <v>233</v>
      </c>
    </row>
    <row r="581" spans="1:17" x14ac:dyDescent="0.3">
      <c r="A581" s="70" t="s">
        <v>1444</v>
      </c>
      <c r="B581" s="71" t="s">
        <v>1407</v>
      </c>
      <c r="C581" s="71" t="s">
        <v>1445</v>
      </c>
      <c r="D581" s="71"/>
      <c r="E581" s="71"/>
      <c r="F581" s="71" t="s">
        <v>1274</v>
      </c>
      <c r="G581" s="72"/>
      <c r="M581" s="98">
        <v>30</v>
      </c>
      <c r="N581" s="98" t="s">
        <v>1406</v>
      </c>
      <c r="O581" s="99" t="s">
        <v>46</v>
      </c>
      <c r="P581" s="98" t="s">
        <v>540</v>
      </c>
      <c r="Q581" s="99" t="s">
        <v>86</v>
      </c>
    </row>
    <row r="582" spans="1:17" x14ac:dyDescent="0.3">
      <c r="A582" s="64" t="s">
        <v>1446</v>
      </c>
      <c r="B582" s="74" t="s">
        <v>1407</v>
      </c>
      <c r="C582" s="74" t="s">
        <v>1447</v>
      </c>
      <c r="D582" s="74"/>
      <c r="E582" s="74"/>
      <c r="F582" s="74" t="s">
        <v>1228</v>
      </c>
      <c r="G582" s="75"/>
      <c r="M582" s="98">
        <v>30</v>
      </c>
      <c r="N582" s="98" t="s">
        <v>1406</v>
      </c>
      <c r="O582" s="99" t="s">
        <v>64</v>
      </c>
      <c r="P582" s="98" t="s">
        <v>540</v>
      </c>
      <c r="Q582" s="99" t="s">
        <v>86</v>
      </c>
    </row>
    <row r="583" spans="1:17" x14ac:dyDescent="0.3">
      <c r="A583" s="70" t="s">
        <v>1448</v>
      </c>
      <c r="B583" s="71" t="s">
        <v>1407</v>
      </c>
      <c r="C583" s="71" t="s">
        <v>1449</v>
      </c>
      <c r="D583" s="71"/>
      <c r="E583" s="71"/>
      <c r="F583" s="71" t="s">
        <v>34</v>
      </c>
      <c r="G583" s="72"/>
      <c r="M583" s="98">
        <v>30</v>
      </c>
      <c r="N583" s="98" t="s">
        <v>1406</v>
      </c>
      <c r="O583" s="99" t="s">
        <v>37</v>
      </c>
      <c r="P583" s="98" t="s">
        <v>540</v>
      </c>
      <c r="Q583" s="99" t="s">
        <v>86</v>
      </c>
    </row>
    <row r="584" spans="1:17" x14ac:dyDescent="0.3">
      <c r="A584" s="64" t="s">
        <v>1448</v>
      </c>
      <c r="B584" s="98" t="s">
        <v>1407</v>
      </c>
      <c r="C584" s="98" t="s">
        <v>1450</v>
      </c>
      <c r="D584" s="99" t="s">
        <v>1451</v>
      </c>
      <c r="E584" s="100">
        <v>2</v>
      </c>
      <c r="F584" s="100" t="s">
        <v>36</v>
      </c>
      <c r="G584" s="101"/>
      <c r="M584" s="98">
        <v>30</v>
      </c>
      <c r="N584" s="98" t="s">
        <v>1439</v>
      </c>
      <c r="O584" s="99" t="s">
        <v>37</v>
      </c>
      <c r="P584" s="98" t="s">
        <v>540</v>
      </c>
      <c r="Q584" s="99" t="s">
        <v>82</v>
      </c>
    </row>
    <row r="585" spans="1:17" x14ac:dyDescent="0.3">
      <c r="A585" s="64" t="s">
        <v>1452</v>
      </c>
      <c r="B585" s="74" t="s">
        <v>1407</v>
      </c>
      <c r="C585" s="74" t="s">
        <v>1453</v>
      </c>
      <c r="D585" s="74"/>
      <c r="E585" s="74"/>
      <c r="F585" s="74" t="s">
        <v>1430</v>
      </c>
      <c r="G585" s="75"/>
      <c r="M585" s="74"/>
      <c r="N585" s="74"/>
      <c r="O585" s="74"/>
      <c r="P585" s="74"/>
      <c r="Q585" s="74"/>
    </row>
    <row r="586" spans="1:17" x14ac:dyDescent="0.3">
      <c r="A586" s="64" t="s">
        <v>1452</v>
      </c>
      <c r="B586" s="98" t="s">
        <v>1407</v>
      </c>
      <c r="C586" s="98" t="s">
        <v>1455</v>
      </c>
      <c r="D586" s="99" t="s">
        <v>1451</v>
      </c>
      <c r="E586" s="100">
        <v>2</v>
      </c>
      <c r="F586" s="100" t="s">
        <v>26</v>
      </c>
      <c r="G586" s="101"/>
      <c r="M586" s="98">
        <v>30</v>
      </c>
      <c r="N586" s="98" t="s">
        <v>1439</v>
      </c>
      <c r="O586" s="99" t="s">
        <v>37</v>
      </c>
      <c r="P586" s="98" t="s">
        <v>540</v>
      </c>
      <c r="Q586" s="99" t="s">
        <v>1454</v>
      </c>
    </row>
    <row r="587" spans="1:17" x14ac:dyDescent="0.3">
      <c r="A587" s="70" t="s">
        <v>1456</v>
      </c>
      <c r="B587" s="71" t="s">
        <v>1407</v>
      </c>
      <c r="C587" s="71" t="s">
        <v>1457</v>
      </c>
      <c r="D587" s="71"/>
      <c r="E587" s="71"/>
      <c r="F587" s="71" t="s">
        <v>24</v>
      </c>
      <c r="G587" s="72"/>
      <c r="M587" s="71"/>
      <c r="N587" s="71"/>
      <c r="O587" s="71"/>
      <c r="P587" s="71"/>
      <c r="Q587" s="71"/>
    </row>
    <row r="588" spans="1:17" x14ac:dyDescent="0.3">
      <c r="A588" s="64" t="s">
        <v>1456</v>
      </c>
      <c r="B588" s="98" t="s">
        <v>1407</v>
      </c>
      <c r="C588" s="98" t="s">
        <v>1458</v>
      </c>
      <c r="D588" s="99" t="s">
        <v>1451</v>
      </c>
      <c r="E588" s="100">
        <v>1</v>
      </c>
      <c r="F588" s="100" t="s">
        <v>20</v>
      </c>
      <c r="G588" s="101"/>
      <c r="M588" s="98">
        <v>30</v>
      </c>
      <c r="N588" s="98" t="s">
        <v>1439</v>
      </c>
      <c r="O588" s="99" t="s">
        <v>120</v>
      </c>
      <c r="P588" s="98" t="s">
        <v>540</v>
      </c>
      <c r="Q588" s="99" t="s">
        <v>82</v>
      </c>
    </row>
    <row r="589" spans="1:17" x14ac:dyDescent="0.3">
      <c r="A589" s="64" t="s">
        <v>1459</v>
      </c>
      <c r="B589" s="74" t="s">
        <v>1407</v>
      </c>
      <c r="C589" s="74" t="s">
        <v>1460</v>
      </c>
      <c r="D589" s="74"/>
      <c r="E589" s="74"/>
      <c r="F589" s="74" t="s">
        <v>1247</v>
      </c>
      <c r="G589" s="75"/>
      <c r="M589" s="74"/>
      <c r="N589" s="74"/>
      <c r="O589" s="74"/>
      <c r="P589" s="74"/>
      <c r="Q589" s="74"/>
    </row>
    <row r="590" spans="1:17" x14ac:dyDescent="0.3">
      <c r="A590" s="64" t="s">
        <v>1459</v>
      </c>
      <c r="B590" s="98" t="s">
        <v>1407</v>
      </c>
      <c r="C590" s="98" t="s">
        <v>1461</v>
      </c>
      <c r="D590" s="99" t="s">
        <v>1451</v>
      </c>
      <c r="E590" s="100">
        <v>1</v>
      </c>
      <c r="F590" s="100" t="s">
        <v>958</v>
      </c>
      <c r="G590" s="101"/>
      <c r="M590" s="98">
        <v>30</v>
      </c>
      <c r="N590" s="98" t="s">
        <v>1439</v>
      </c>
      <c r="O590" s="99" t="s">
        <v>415</v>
      </c>
      <c r="P590" s="98" t="s">
        <v>540</v>
      </c>
      <c r="Q590" s="99" t="s">
        <v>82</v>
      </c>
    </row>
    <row r="591" spans="1:17" x14ac:dyDescent="0.3">
      <c r="A591" s="70" t="s">
        <v>1462</v>
      </c>
      <c r="B591" s="71" t="s">
        <v>1407</v>
      </c>
      <c r="C591" s="71" t="s">
        <v>1463</v>
      </c>
      <c r="D591" s="71"/>
      <c r="E591" s="71"/>
      <c r="F591" s="71" t="s">
        <v>1388</v>
      </c>
      <c r="G591" s="72"/>
      <c r="M591" s="71"/>
      <c r="N591" s="71"/>
      <c r="O591" s="71"/>
      <c r="P591" s="71"/>
      <c r="Q591" s="71"/>
    </row>
    <row r="592" spans="1:17" x14ac:dyDescent="0.3">
      <c r="A592" s="64" t="s">
        <v>1462</v>
      </c>
      <c r="B592" s="98" t="s">
        <v>1407</v>
      </c>
      <c r="C592" s="98" t="s">
        <v>1464</v>
      </c>
      <c r="D592" s="99" t="s">
        <v>1451</v>
      </c>
      <c r="E592" s="100">
        <v>2</v>
      </c>
      <c r="F592" s="100" t="s">
        <v>477</v>
      </c>
      <c r="G592" s="101"/>
      <c r="M592" s="98">
        <v>30</v>
      </c>
      <c r="N592" s="98" t="s">
        <v>1439</v>
      </c>
      <c r="O592" s="99" t="s">
        <v>546</v>
      </c>
      <c r="P592" s="98" t="s">
        <v>540</v>
      </c>
      <c r="Q592" s="99" t="s">
        <v>82</v>
      </c>
    </row>
    <row r="593" spans="1:17" x14ac:dyDescent="0.3">
      <c r="A593" s="64" t="s">
        <v>1465</v>
      </c>
      <c r="B593" s="74" t="s">
        <v>1407</v>
      </c>
      <c r="C593" s="74" t="s">
        <v>1466</v>
      </c>
      <c r="D593" s="74"/>
      <c r="E593" s="74"/>
      <c r="F593" s="74" t="s">
        <v>1135</v>
      </c>
      <c r="G593" s="75"/>
      <c r="M593" s="74"/>
      <c r="N593" s="74"/>
      <c r="O593" s="74"/>
      <c r="P593" s="74"/>
      <c r="Q593" s="74"/>
    </row>
    <row r="594" spans="1:17" x14ac:dyDescent="0.3">
      <c r="A594" s="64" t="s">
        <v>1465</v>
      </c>
      <c r="B594" s="98" t="s">
        <v>1407</v>
      </c>
      <c r="C594" s="98" t="s">
        <v>1467</v>
      </c>
      <c r="D594" s="99" t="s">
        <v>1451</v>
      </c>
      <c r="E594" s="100">
        <v>1</v>
      </c>
      <c r="F594" s="100" t="s">
        <v>938</v>
      </c>
      <c r="G594" s="101"/>
      <c r="M594" s="98">
        <v>30</v>
      </c>
      <c r="N594" s="98" t="s">
        <v>1439</v>
      </c>
      <c r="O594" s="99" t="s">
        <v>854</v>
      </c>
      <c r="P594" s="98" t="s">
        <v>540</v>
      </c>
      <c r="Q594" s="99" t="s">
        <v>219</v>
      </c>
    </row>
    <row r="595" spans="1:17" x14ac:dyDescent="0.3">
      <c r="A595" s="70" t="s">
        <v>1468</v>
      </c>
      <c r="B595" s="71" t="s">
        <v>11</v>
      </c>
      <c r="C595" s="71" t="s">
        <v>1469</v>
      </c>
      <c r="D595" s="71"/>
      <c r="E595" s="71"/>
      <c r="F595" s="71" t="s">
        <v>1135</v>
      </c>
      <c r="G595" s="72"/>
      <c r="M595" s="71"/>
      <c r="N595" s="71"/>
      <c r="O595" s="71"/>
      <c r="P595" s="71"/>
      <c r="Q595" s="71"/>
    </row>
    <row r="596" spans="1:17" x14ac:dyDescent="0.3">
      <c r="A596" s="64" t="s">
        <v>1470</v>
      </c>
      <c r="B596" s="74" t="s">
        <v>205</v>
      </c>
      <c r="C596" s="74" t="s">
        <v>1471</v>
      </c>
      <c r="D596" s="74"/>
      <c r="E596" s="74"/>
      <c r="F596" s="74" t="s">
        <v>1430</v>
      </c>
      <c r="G596" s="75"/>
      <c r="M596" s="74"/>
      <c r="N596" s="74"/>
      <c r="O596" s="74"/>
      <c r="P596" s="74"/>
      <c r="Q596" s="74"/>
    </row>
    <row r="597" spans="1:17" x14ac:dyDescent="0.3">
      <c r="A597" s="64" t="s">
        <v>1470</v>
      </c>
      <c r="B597" s="93" t="s">
        <v>205</v>
      </c>
      <c r="C597" s="93" t="s">
        <v>1474</v>
      </c>
      <c r="D597" s="94" t="s">
        <v>211</v>
      </c>
      <c r="E597" s="95">
        <v>2</v>
      </c>
      <c r="F597" s="95" t="s">
        <v>26</v>
      </c>
      <c r="G597" s="97"/>
      <c r="M597" s="93">
        <v>30</v>
      </c>
      <c r="N597" s="93" t="s">
        <v>1472</v>
      </c>
      <c r="O597" s="94" t="s">
        <v>854</v>
      </c>
      <c r="P597" s="93" t="s">
        <v>540</v>
      </c>
      <c r="Q597" s="94" t="s">
        <v>1473</v>
      </c>
    </row>
    <row r="598" spans="1:17" x14ac:dyDescent="0.3">
      <c r="A598" s="70" t="s">
        <v>1475</v>
      </c>
      <c r="B598" s="71"/>
      <c r="C598" s="71" t="s">
        <v>1476</v>
      </c>
      <c r="D598" s="71"/>
      <c r="E598" s="71"/>
      <c r="F598" s="71"/>
      <c r="G598" s="72" t="s">
        <v>149</v>
      </c>
      <c r="M598" s="71"/>
      <c r="N598" s="71"/>
      <c r="O598" s="71"/>
      <c r="P598" s="71"/>
      <c r="Q598" s="71"/>
    </row>
    <row r="599" spans="1:17" x14ac:dyDescent="0.3">
      <c r="A599" s="73" t="s">
        <v>1477</v>
      </c>
      <c r="B599" s="66" t="s">
        <v>49</v>
      </c>
      <c r="C599" s="65" t="s">
        <v>1479</v>
      </c>
      <c r="D599" s="66" t="s">
        <v>1480</v>
      </c>
      <c r="E599" s="67">
        <v>13</v>
      </c>
      <c r="F599" s="67" t="s">
        <v>1481</v>
      </c>
      <c r="G599" s="68" t="s">
        <v>1482</v>
      </c>
      <c r="M599" s="65">
        <v>30</v>
      </c>
      <c r="N599" s="65" t="s">
        <v>1478</v>
      </c>
      <c r="O599" s="66" t="s">
        <v>46</v>
      </c>
      <c r="P599" s="65" t="s">
        <v>47</v>
      </c>
      <c r="Q599" s="66" t="s">
        <v>82</v>
      </c>
    </row>
    <row r="600" spans="1:17" x14ac:dyDescent="0.3">
      <c r="A600" s="64" t="s">
        <v>1483</v>
      </c>
      <c r="B600" s="74"/>
      <c r="C600" s="74" t="s">
        <v>1484</v>
      </c>
      <c r="D600" s="74"/>
      <c r="E600" s="74"/>
      <c r="F600" s="74"/>
      <c r="G600" s="75" t="s">
        <v>144</v>
      </c>
      <c r="M600" s="74"/>
      <c r="N600" s="74"/>
      <c r="O600" s="74"/>
      <c r="P600" s="74"/>
      <c r="Q600" s="74"/>
    </row>
    <row r="601" spans="1:17" x14ac:dyDescent="0.3">
      <c r="A601" s="73" t="s">
        <v>1485</v>
      </c>
      <c r="B601" s="66" t="s">
        <v>49</v>
      </c>
      <c r="C601" s="65" t="s">
        <v>1486</v>
      </c>
      <c r="D601" s="66" t="s">
        <v>1480</v>
      </c>
      <c r="E601" s="67">
        <v>14</v>
      </c>
      <c r="F601" s="67" t="s">
        <v>1487</v>
      </c>
      <c r="G601" s="68" t="s">
        <v>1482</v>
      </c>
      <c r="M601" s="65">
        <v>30</v>
      </c>
      <c r="N601" s="65" t="s">
        <v>1478</v>
      </c>
      <c r="O601" s="66" t="s">
        <v>64</v>
      </c>
      <c r="P601" s="65" t="s">
        <v>47</v>
      </c>
      <c r="Q601" s="66" t="s">
        <v>82</v>
      </c>
    </row>
    <row r="602" spans="1:17" x14ac:dyDescent="0.3">
      <c r="A602" s="73" t="s">
        <v>1475</v>
      </c>
      <c r="B602" s="98" t="s">
        <v>1407</v>
      </c>
      <c r="C602" s="98" t="s">
        <v>1488</v>
      </c>
      <c r="D602" s="99"/>
      <c r="E602" s="67"/>
      <c r="F602" s="67"/>
      <c r="G602" s="68"/>
      <c r="M602" s="98"/>
      <c r="N602" s="98"/>
      <c r="O602" s="99"/>
      <c r="P602" s="98"/>
      <c r="Q602" s="99"/>
    </row>
    <row r="603" spans="1:17" x14ac:dyDescent="0.3">
      <c r="A603" s="73" t="s">
        <v>1483</v>
      </c>
      <c r="B603" s="98" t="s">
        <v>1407</v>
      </c>
      <c r="C603" s="98" t="s">
        <v>1489</v>
      </c>
      <c r="D603" s="99"/>
      <c r="E603" s="67"/>
      <c r="F603" s="67"/>
      <c r="G603" s="68"/>
      <c r="M603" s="98"/>
      <c r="N603" s="98"/>
      <c r="O603" s="99"/>
      <c r="P603" s="98"/>
      <c r="Q603" s="99"/>
    </row>
    <row r="604" spans="1:17" x14ac:dyDescent="0.3">
      <c r="A604" s="64" t="s">
        <v>1490</v>
      </c>
      <c r="B604" s="98" t="s">
        <v>1407</v>
      </c>
      <c r="C604" s="98" t="s">
        <v>1492</v>
      </c>
      <c r="D604" s="99" t="s">
        <v>1493</v>
      </c>
      <c r="E604" s="100">
        <v>4</v>
      </c>
      <c r="F604" s="103" t="s">
        <v>518</v>
      </c>
      <c r="G604" s="101"/>
      <c r="M604" s="98">
        <v>30</v>
      </c>
      <c r="N604" s="98" t="s">
        <v>1491</v>
      </c>
      <c r="O604" s="99" t="s">
        <v>975</v>
      </c>
      <c r="P604" s="98" t="s">
        <v>399</v>
      </c>
      <c r="Q604" s="99" t="s">
        <v>48</v>
      </c>
    </row>
    <row r="605" spans="1:17" x14ac:dyDescent="0.3">
      <c r="A605" s="70" t="s">
        <v>1490</v>
      </c>
      <c r="B605" s="71" t="s">
        <v>1407</v>
      </c>
      <c r="C605" s="71" t="s">
        <v>1494</v>
      </c>
      <c r="D605" s="71"/>
      <c r="E605" s="71"/>
      <c r="F605" s="71" t="s">
        <v>514</v>
      </c>
      <c r="G605" s="72"/>
      <c r="M605" s="71"/>
      <c r="N605" s="71"/>
      <c r="O605" s="71"/>
      <c r="P605" s="71"/>
      <c r="Q605" s="71"/>
    </row>
    <row r="606" spans="1:17" x14ac:dyDescent="0.3">
      <c r="A606" s="64" t="s">
        <v>1495</v>
      </c>
      <c r="B606" s="98" t="s">
        <v>1407</v>
      </c>
      <c r="C606" s="98" t="s">
        <v>1496</v>
      </c>
      <c r="D606" s="99" t="s">
        <v>1493</v>
      </c>
      <c r="E606" s="100">
        <v>6</v>
      </c>
      <c r="F606" s="100" t="s">
        <v>1497</v>
      </c>
      <c r="G606" s="101"/>
      <c r="M606" s="98">
        <v>30</v>
      </c>
      <c r="N606" s="98" t="s">
        <v>1491</v>
      </c>
      <c r="O606" s="99" t="s">
        <v>1296</v>
      </c>
      <c r="P606" s="98" t="s">
        <v>399</v>
      </c>
      <c r="Q606" s="99" t="s">
        <v>48</v>
      </c>
    </row>
    <row r="607" spans="1:17" x14ac:dyDescent="0.3">
      <c r="A607" s="64" t="s">
        <v>1495</v>
      </c>
      <c r="B607" s="74" t="s">
        <v>1407</v>
      </c>
      <c r="C607" s="74" t="s">
        <v>1498</v>
      </c>
      <c r="D607" s="74"/>
      <c r="E607" s="74"/>
      <c r="F607" s="74" t="s">
        <v>1499</v>
      </c>
      <c r="G607" s="75"/>
      <c r="M607" s="74"/>
      <c r="N607" s="74"/>
      <c r="O607" s="74"/>
      <c r="P607" s="74"/>
      <c r="Q607" s="74"/>
    </row>
    <row r="608" spans="1:17" x14ac:dyDescent="0.3">
      <c r="A608" s="70" t="s">
        <v>1500</v>
      </c>
      <c r="B608" s="71" t="s">
        <v>11</v>
      </c>
      <c r="C608" s="71" t="s">
        <v>1501</v>
      </c>
      <c r="D608" s="71"/>
      <c r="E608" s="71"/>
      <c r="F608" s="71" t="s">
        <v>1502</v>
      </c>
      <c r="G608" s="72"/>
      <c r="M608" s="71"/>
      <c r="N608" s="71"/>
      <c r="O608" s="71"/>
      <c r="P608" s="71"/>
      <c r="Q608" s="71"/>
    </row>
    <row r="609" spans="1:17" x14ac:dyDescent="0.3">
      <c r="A609" s="64" t="s">
        <v>1503</v>
      </c>
      <c r="B609" s="74" t="s">
        <v>11</v>
      </c>
      <c r="C609" s="74" t="s">
        <v>1504</v>
      </c>
      <c r="D609" s="74"/>
      <c r="E609" s="74"/>
      <c r="F609" s="74" t="s">
        <v>1505</v>
      </c>
      <c r="G609" s="75"/>
      <c r="M609" s="74"/>
      <c r="N609" s="74"/>
      <c r="O609" s="74"/>
      <c r="P609" s="74"/>
      <c r="Q609" s="74"/>
    </row>
    <row r="610" spans="1:17" x14ac:dyDescent="0.3">
      <c r="A610" s="70" t="s">
        <v>1506</v>
      </c>
      <c r="B610" s="71" t="s">
        <v>11</v>
      </c>
      <c r="C610" s="71" t="s">
        <v>1507</v>
      </c>
      <c r="D610" s="71"/>
      <c r="E610" s="71"/>
      <c r="F610" s="71" t="s">
        <v>1508</v>
      </c>
      <c r="G610" s="72"/>
      <c r="M610" s="71"/>
      <c r="N610" s="71"/>
      <c r="O610" s="71"/>
      <c r="P610" s="71"/>
      <c r="Q610" s="71"/>
    </row>
    <row r="611" spans="1:17" x14ac:dyDescent="0.3">
      <c r="A611" s="64" t="s">
        <v>1509</v>
      </c>
      <c r="B611" s="74" t="s">
        <v>11</v>
      </c>
      <c r="C611" s="74" t="s">
        <v>1510</v>
      </c>
      <c r="D611" s="74"/>
      <c r="E611" s="74"/>
      <c r="F611" s="74" t="s">
        <v>895</v>
      </c>
      <c r="G611" s="75"/>
      <c r="M611" s="74"/>
      <c r="N611" s="74"/>
      <c r="O611" s="74"/>
      <c r="P611" s="74"/>
      <c r="Q611" s="74"/>
    </row>
    <row r="612" spans="1:17" x14ac:dyDescent="0.3">
      <c r="A612" s="64" t="s">
        <v>1509</v>
      </c>
      <c r="B612" s="81" t="s">
        <v>11</v>
      </c>
      <c r="C612" s="81" t="s">
        <v>1511</v>
      </c>
      <c r="D612" s="82" t="s">
        <v>396</v>
      </c>
      <c r="E612" s="83">
        <v>2</v>
      </c>
      <c r="F612" s="83" t="s">
        <v>22</v>
      </c>
      <c r="G612" s="84"/>
      <c r="M612" s="81">
        <v>30</v>
      </c>
      <c r="N612" s="81" t="s">
        <v>393</v>
      </c>
      <c r="O612" s="82" t="s">
        <v>120</v>
      </c>
      <c r="P612" s="81" t="s">
        <v>394</v>
      </c>
      <c r="Q612" s="82" t="s">
        <v>48</v>
      </c>
    </row>
    <row r="613" spans="1:17" x14ac:dyDescent="0.3">
      <c r="A613" s="70" t="s">
        <v>1512</v>
      </c>
      <c r="B613" s="71" t="s">
        <v>11</v>
      </c>
      <c r="C613" s="71" t="s">
        <v>1513</v>
      </c>
      <c r="D613" s="71"/>
      <c r="E613" s="71"/>
      <c r="F613" s="71" t="s">
        <v>327</v>
      </c>
      <c r="G613" s="72"/>
      <c r="M613" s="71"/>
      <c r="N613" s="71"/>
      <c r="O613" s="71"/>
      <c r="P613" s="71"/>
      <c r="Q613" s="71"/>
    </row>
    <row r="614" spans="1:17" x14ac:dyDescent="0.3">
      <c r="A614" s="64" t="s">
        <v>1514</v>
      </c>
      <c r="B614" s="74" t="s">
        <v>11</v>
      </c>
      <c r="C614" s="74" t="s">
        <v>1515</v>
      </c>
      <c r="D614" s="74"/>
      <c r="E614" s="74"/>
      <c r="F614" s="74" t="s">
        <v>1217</v>
      </c>
      <c r="G614" s="75"/>
      <c r="M614" s="74"/>
      <c r="N614" s="74"/>
      <c r="O614" s="74"/>
      <c r="P614" s="74"/>
      <c r="Q614" s="74"/>
    </row>
    <row r="615" spans="1:17" x14ac:dyDescent="0.3">
      <c r="A615" s="64" t="s">
        <v>1514</v>
      </c>
      <c r="B615" s="81" t="s">
        <v>11</v>
      </c>
      <c r="C615" s="81" t="s">
        <v>1516</v>
      </c>
      <c r="D615" s="82" t="s">
        <v>396</v>
      </c>
      <c r="E615" s="67">
        <v>11</v>
      </c>
      <c r="F615" s="67" t="s">
        <v>1215</v>
      </c>
      <c r="G615" s="84"/>
      <c r="M615" s="81">
        <v>30</v>
      </c>
      <c r="N615" s="81" t="s">
        <v>393</v>
      </c>
      <c r="O615" s="82" t="s">
        <v>546</v>
      </c>
      <c r="P615" s="81" t="s">
        <v>399</v>
      </c>
      <c r="Q615" s="82" t="s">
        <v>48</v>
      </c>
    </row>
    <row r="616" spans="1:17" x14ac:dyDescent="0.3">
      <c r="A616" s="64" t="s">
        <v>1517</v>
      </c>
      <c r="B616" s="81" t="s">
        <v>11</v>
      </c>
      <c r="C616" s="81" t="s">
        <v>1519</v>
      </c>
      <c r="D616" s="82" t="s">
        <v>1520</v>
      </c>
      <c r="E616" s="83">
        <v>1</v>
      </c>
      <c r="F616" s="83" t="s">
        <v>938</v>
      </c>
      <c r="G616" s="84"/>
      <c r="M616" s="81">
        <v>30</v>
      </c>
      <c r="N616" s="81" t="s">
        <v>1518</v>
      </c>
      <c r="O616" s="82" t="s">
        <v>860</v>
      </c>
      <c r="P616" s="82" t="s">
        <v>540</v>
      </c>
      <c r="Q616" s="82" t="s">
        <v>233</v>
      </c>
    </row>
    <row r="617" spans="1:17" x14ac:dyDescent="0.3">
      <c r="A617" s="64" t="s">
        <v>1521</v>
      </c>
      <c r="B617" s="98" t="s">
        <v>1407</v>
      </c>
      <c r="C617" s="98" t="s">
        <v>1523</v>
      </c>
      <c r="D617" s="99" t="s">
        <v>1413</v>
      </c>
      <c r="E617" s="100">
        <v>2</v>
      </c>
      <c r="F617" s="100" t="s">
        <v>192</v>
      </c>
      <c r="G617" s="101"/>
      <c r="M617" s="98">
        <v>30</v>
      </c>
      <c r="N617" s="98" t="s">
        <v>1522</v>
      </c>
      <c r="O617" s="99" t="s">
        <v>46</v>
      </c>
      <c r="P617" s="98" t="s">
        <v>399</v>
      </c>
      <c r="Q617" s="99" t="s">
        <v>82</v>
      </c>
    </row>
    <row r="618" spans="1:17" x14ac:dyDescent="0.3">
      <c r="A618" s="70" t="s">
        <v>1521</v>
      </c>
      <c r="B618" s="71" t="s">
        <v>1407</v>
      </c>
      <c r="C618" s="71" t="s">
        <v>1524</v>
      </c>
      <c r="D618" s="71"/>
      <c r="E618" s="71"/>
      <c r="F618" s="71" t="s">
        <v>1525</v>
      </c>
      <c r="G618" s="72"/>
      <c r="M618" s="71"/>
      <c r="N618" s="71"/>
      <c r="O618" s="71"/>
      <c r="P618" s="71"/>
      <c r="Q618" s="71"/>
    </row>
    <row r="619" spans="1:17" x14ac:dyDescent="0.3">
      <c r="A619" s="64" t="s">
        <v>1526</v>
      </c>
      <c r="B619" s="74" t="s">
        <v>1407</v>
      </c>
      <c r="C619" s="74" t="s">
        <v>1527</v>
      </c>
      <c r="D619" s="74"/>
      <c r="E619" s="74"/>
      <c r="F619" s="74" t="s">
        <v>1372</v>
      </c>
      <c r="G619" s="75"/>
      <c r="M619" s="74"/>
      <c r="N619" s="74"/>
      <c r="O619" s="74"/>
      <c r="P619" s="74"/>
      <c r="Q619" s="74"/>
    </row>
    <row r="620" spans="1:17" x14ac:dyDescent="0.3">
      <c r="A620" s="64" t="s">
        <v>1528</v>
      </c>
      <c r="B620" s="98" t="s">
        <v>1407</v>
      </c>
      <c r="C620" s="98" t="s">
        <v>1531</v>
      </c>
      <c r="D620" s="99" t="s">
        <v>1532</v>
      </c>
      <c r="E620" s="100">
        <v>5</v>
      </c>
      <c r="F620" s="103" t="s">
        <v>522</v>
      </c>
      <c r="G620" s="101"/>
      <c r="M620" s="98">
        <v>30</v>
      </c>
      <c r="N620" s="98" t="s">
        <v>1529</v>
      </c>
      <c r="O620" s="99" t="s">
        <v>46</v>
      </c>
      <c r="P620" s="98" t="s">
        <v>1530</v>
      </c>
      <c r="Q620" s="99" t="s">
        <v>48</v>
      </c>
    </row>
    <row r="621" spans="1:17" x14ac:dyDescent="0.3">
      <c r="A621" s="70" t="s">
        <v>1533</v>
      </c>
      <c r="B621" s="71" t="s">
        <v>1407</v>
      </c>
      <c r="C621" s="71" t="s">
        <v>1534</v>
      </c>
      <c r="D621" s="71"/>
      <c r="E621" s="71"/>
      <c r="F621" s="71" t="s">
        <v>1535</v>
      </c>
      <c r="G621" s="72"/>
      <c r="M621" s="71"/>
      <c r="N621" s="71"/>
      <c r="O621" s="71"/>
      <c r="P621" s="71"/>
      <c r="Q621" s="71"/>
    </row>
    <row r="622" spans="1:17" x14ac:dyDescent="0.3">
      <c r="A622" s="64" t="s">
        <v>1533</v>
      </c>
      <c r="B622" s="98" t="s">
        <v>1407</v>
      </c>
      <c r="C622" s="98" t="s">
        <v>1537</v>
      </c>
      <c r="D622" s="99" t="s">
        <v>1538</v>
      </c>
      <c r="E622" s="100">
        <v>4</v>
      </c>
      <c r="F622" s="103" t="s">
        <v>892</v>
      </c>
      <c r="G622" s="101"/>
      <c r="M622" s="98">
        <v>30</v>
      </c>
      <c r="N622" s="98" t="s">
        <v>1536</v>
      </c>
      <c r="O622" s="99" t="s">
        <v>46</v>
      </c>
      <c r="P622" s="98" t="s">
        <v>444</v>
      </c>
      <c r="Q622" s="99" t="s">
        <v>48</v>
      </c>
    </row>
    <row r="623" spans="1:17" x14ac:dyDescent="0.3">
      <c r="A623" s="64" t="s">
        <v>1539</v>
      </c>
      <c r="B623" s="74" t="s">
        <v>1407</v>
      </c>
      <c r="C623" s="74" t="s">
        <v>1540</v>
      </c>
      <c r="D623" s="74"/>
      <c r="E623" s="74"/>
      <c r="F623" s="74" t="s">
        <v>525</v>
      </c>
      <c r="G623" s="75"/>
      <c r="M623" s="74"/>
      <c r="N623" s="74"/>
      <c r="O623" s="74"/>
      <c r="P623" s="74"/>
      <c r="Q623" s="74"/>
    </row>
    <row r="624" spans="1:17" x14ac:dyDescent="0.3">
      <c r="A624" s="64" t="s">
        <v>1539</v>
      </c>
      <c r="B624" s="98" t="s">
        <v>1407</v>
      </c>
      <c r="C624" s="98" t="s">
        <v>1541</v>
      </c>
      <c r="D624" s="99" t="s">
        <v>1538</v>
      </c>
      <c r="E624" s="100">
        <v>5</v>
      </c>
      <c r="F624" s="103" t="s">
        <v>527</v>
      </c>
      <c r="G624" s="101"/>
      <c r="M624" s="98">
        <v>30</v>
      </c>
      <c r="N624" s="98" t="s">
        <v>1536</v>
      </c>
      <c r="O624" s="99" t="s">
        <v>46</v>
      </c>
      <c r="P624" s="98" t="s">
        <v>444</v>
      </c>
      <c r="Q624" s="99" t="s">
        <v>233</v>
      </c>
    </row>
    <row r="625" spans="1:17" x14ac:dyDescent="0.3">
      <c r="A625" s="70" t="s">
        <v>1542</v>
      </c>
      <c r="B625" s="71" t="s">
        <v>1407</v>
      </c>
      <c r="C625" s="71" t="s">
        <v>1543</v>
      </c>
      <c r="D625" s="71"/>
      <c r="E625" s="71"/>
      <c r="F625" s="71" t="s">
        <v>1294</v>
      </c>
      <c r="G625" s="72"/>
      <c r="M625" s="71"/>
      <c r="N625" s="71"/>
      <c r="O625" s="71"/>
      <c r="P625" s="71"/>
      <c r="Q625" s="71"/>
    </row>
    <row r="626" spans="1:17" x14ac:dyDescent="0.3">
      <c r="A626" s="64" t="s">
        <v>1542</v>
      </c>
      <c r="B626" s="98" t="s">
        <v>1407</v>
      </c>
      <c r="C626" s="98" t="s">
        <v>1544</v>
      </c>
      <c r="D626" s="99" t="s">
        <v>1538</v>
      </c>
      <c r="E626" s="100">
        <v>3</v>
      </c>
      <c r="F626" s="103" t="s">
        <v>1126</v>
      </c>
      <c r="G626" s="101"/>
      <c r="M626" s="98">
        <v>30</v>
      </c>
      <c r="N626" s="98" t="s">
        <v>1536</v>
      </c>
      <c r="O626" s="99" t="s">
        <v>46</v>
      </c>
      <c r="P626" s="98" t="s">
        <v>273</v>
      </c>
      <c r="Q626" s="99" t="s">
        <v>48</v>
      </c>
    </row>
    <row r="627" spans="1:17" x14ac:dyDescent="0.3">
      <c r="A627" s="64" t="s">
        <v>1545</v>
      </c>
      <c r="B627" s="74" t="s">
        <v>1407</v>
      </c>
      <c r="C627" s="74" t="s">
        <v>1546</v>
      </c>
      <c r="D627" s="74"/>
      <c r="E627" s="74"/>
      <c r="F627" s="74" t="s">
        <v>1302</v>
      </c>
      <c r="G627" s="75"/>
      <c r="M627" s="74"/>
      <c r="N627" s="74"/>
      <c r="O627" s="74"/>
      <c r="P627" s="74"/>
      <c r="Q627" s="74"/>
    </row>
    <row r="628" spans="1:17" x14ac:dyDescent="0.3">
      <c r="A628" s="64" t="s">
        <v>1545</v>
      </c>
      <c r="B628" s="98" t="s">
        <v>1407</v>
      </c>
      <c r="C628" s="98" t="s">
        <v>1547</v>
      </c>
      <c r="D628" s="99" t="s">
        <v>1538</v>
      </c>
      <c r="E628" s="100">
        <v>4</v>
      </c>
      <c r="F628" s="103" t="s">
        <v>1304</v>
      </c>
      <c r="G628" s="101"/>
      <c r="M628" s="98">
        <v>30</v>
      </c>
      <c r="N628" s="98" t="s">
        <v>1536</v>
      </c>
      <c r="O628" s="99" t="s">
        <v>46</v>
      </c>
      <c r="P628" s="98" t="s">
        <v>273</v>
      </c>
      <c r="Q628" s="99" t="s">
        <v>233</v>
      </c>
    </row>
    <row r="629" spans="1:17" x14ac:dyDescent="0.3">
      <c r="A629" s="70" t="s">
        <v>1548</v>
      </c>
      <c r="B629" s="71" t="s">
        <v>1407</v>
      </c>
      <c r="C629" s="71" t="s">
        <v>1549</v>
      </c>
      <c r="D629" s="71"/>
      <c r="E629" s="71"/>
      <c r="F629" s="71" t="s">
        <v>917</v>
      </c>
      <c r="G629" s="72"/>
      <c r="M629" s="71"/>
      <c r="N629" s="71"/>
      <c r="O629" s="71"/>
      <c r="P629" s="71"/>
      <c r="Q629" s="71"/>
    </row>
    <row r="630" spans="1:17" x14ac:dyDescent="0.3">
      <c r="A630" s="64" t="s">
        <v>1548</v>
      </c>
      <c r="B630" s="98" t="s">
        <v>1407</v>
      </c>
      <c r="C630" s="98" t="s">
        <v>1550</v>
      </c>
      <c r="D630" s="99" t="s">
        <v>1538</v>
      </c>
      <c r="E630" s="100">
        <v>6</v>
      </c>
      <c r="F630" s="103" t="s">
        <v>915</v>
      </c>
      <c r="G630" s="101"/>
      <c r="M630" s="98">
        <v>30</v>
      </c>
      <c r="N630" s="98" t="s">
        <v>1536</v>
      </c>
      <c r="O630" s="99" t="s">
        <v>264</v>
      </c>
      <c r="P630" s="98" t="s">
        <v>399</v>
      </c>
      <c r="Q630" s="99" t="s">
        <v>48</v>
      </c>
    </row>
    <row r="631" spans="1:17" x14ac:dyDescent="0.3">
      <c r="A631" s="64" t="s">
        <v>1551</v>
      </c>
      <c r="B631" s="98" t="s">
        <v>1407</v>
      </c>
      <c r="C631" s="98" t="s">
        <v>1552</v>
      </c>
      <c r="D631" s="99" t="s">
        <v>1538</v>
      </c>
      <c r="E631" s="100">
        <v>4</v>
      </c>
      <c r="F631" s="103" t="s">
        <v>334</v>
      </c>
      <c r="G631" s="101"/>
      <c r="M631" s="98">
        <v>30</v>
      </c>
      <c r="N631" s="98" t="s">
        <v>1536</v>
      </c>
      <c r="O631" s="99" t="s">
        <v>854</v>
      </c>
      <c r="P631" s="98" t="s">
        <v>399</v>
      </c>
      <c r="Q631" s="99" t="s">
        <v>48</v>
      </c>
    </row>
    <row r="632" spans="1:17" x14ac:dyDescent="0.3">
      <c r="A632" s="64" t="s">
        <v>1551</v>
      </c>
      <c r="B632" s="74" t="s">
        <v>1407</v>
      </c>
      <c r="C632" s="74" t="s">
        <v>1553</v>
      </c>
      <c r="D632" s="74"/>
      <c r="E632" s="74"/>
      <c r="F632" s="74" t="s">
        <v>336</v>
      </c>
      <c r="G632" s="75"/>
      <c r="M632" s="74"/>
      <c r="N632" s="74"/>
      <c r="O632" s="74"/>
      <c r="P632" s="74"/>
      <c r="Q632" s="74"/>
    </row>
    <row r="633" spans="1:17" x14ac:dyDescent="0.3">
      <c r="A633" s="70" t="s">
        <v>1554</v>
      </c>
      <c r="B633" s="71" t="s">
        <v>1407</v>
      </c>
      <c r="C633" s="71" t="s">
        <v>1555</v>
      </c>
      <c r="D633" s="71"/>
      <c r="E633" s="71"/>
      <c r="F633" s="71" t="s">
        <v>899</v>
      </c>
      <c r="G633" s="72"/>
      <c r="M633" s="71"/>
      <c r="N633" s="71"/>
      <c r="O633" s="71"/>
      <c r="P633" s="71"/>
      <c r="Q633" s="71"/>
    </row>
    <row r="634" spans="1:17" x14ac:dyDescent="0.3">
      <c r="A634" s="64" t="s">
        <v>1554</v>
      </c>
      <c r="B634" s="98" t="s">
        <v>1407</v>
      </c>
      <c r="C634" s="98" t="s">
        <v>1557</v>
      </c>
      <c r="D634" s="99" t="s">
        <v>1558</v>
      </c>
      <c r="E634" s="100">
        <v>5</v>
      </c>
      <c r="F634" s="103" t="s">
        <v>901</v>
      </c>
      <c r="G634" s="101"/>
      <c r="M634" s="98">
        <v>30</v>
      </c>
      <c r="N634" s="98" t="s">
        <v>1536</v>
      </c>
      <c r="O634" s="99" t="s">
        <v>1556</v>
      </c>
      <c r="P634" s="98" t="s">
        <v>399</v>
      </c>
      <c r="Q634" s="99" t="s">
        <v>48</v>
      </c>
    </row>
    <row r="635" spans="1:17" x14ac:dyDescent="0.3">
      <c r="A635" s="64" t="s">
        <v>1559</v>
      </c>
      <c r="B635" s="98" t="s">
        <v>1407</v>
      </c>
      <c r="C635" s="98" t="s">
        <v>1561</v>
      </c>
      <c r="D635" s="99" t="s">
        <v>1562</v>
      </c>
      <c r="E635" s="100">
        <v>3</v>
      </c>
      <c r="F635" s="103" t="s">
        <v>492</v>
      </c>
      <c r="G635" s="101"/>
      <c r="M635" s="98">
        <v>30</v>
      </c>
      <c r="N635" s="98" t="s">
        <v>1560</v>
      </c>
      <c r="O635" s="99" t="s">
        <v>37</v>
      </c>
      <c r="P635" s="98" t="s">
        <v>273</v>
      </c>
      <c r="Q635" s="99" t="s">
        <v>48</v>
      </c>
    </row>
    <row r="636" spans="1:17" x14ac:dyDescent="0.3">
      <c r="A636" s="64" t="s">
        <v>1559</v>
      </c>
      <c r="B636" s="74" t="s">
        <v>1407</v>
      </c>
      <c r="C636" s="74" t="s">
        <v>1563</v>
      </c>
      <c r="D636" s="74"/>
      <c r="E636" s="74"/>
      <c r="F636" s="74" t="s">
        <v>491</v>
      </c>
      <c r="G636" s="75"/>
      <c r="M636" s="74"/>
      <c r="N636" s="74"/>
      <c r="O636" s="74"/>
      <c r="P636" s="74"/>
      <c r="Q636" s="74"/>
    </row>
    <row r="637" spans="1:17" x14ac:dyDescent="0.3">
      <c r="A637" s="64" t="s">
        <v>1564</v>
      </c>
      <c r="B637" s="98" t="s">
        <v>1407</v>
      </c>
      <c r="C637" s="98" t="s">
        <v>1565</v>
      </c>
      <c r="D637" s="99" t="s">
        <v>1562</v>
      </c>
      <c r="E637" s="100">
        <v>3</v>
      </c>
      <c r="F637" s="103" t="s">
        <v>221</v>
      </c>
      <c r="G637" s="101"/>
      <c r="M637" s="98">
        <v>30</v>
      </c>
      <c r="N637" s="98" t="s">
        <v>1560</v>
      </c>
      <c r="O637" s="99" t="s">
        <v>37</v>
      </c>
      <c r="P637" s="98" t="s">
        <v>273</v>
      </c>
      <c r="Q637" s="99" t="s">
        <v>233</v>
      </c>
    </row>
    <row r="638" spans="1:17" x14ac:dyDescent="0.3">
      <c r="A638" s="70" t="s">
        <v>1564</v>
      </c>
      <c r="B638" s="71" t="s">
        <v>1407</v>
      </c>
      <c r="C638" s="71" t="s">
        <v>1566</v>
      </c>
      <c r="D638" s="71"/>
      <c r="E638" s="71"/>
      <c r="F638" s="71" t="s">
        <v>223</v>
      </c>
      <c r="G638" s="72"/>
      <c r="M638" s="71"/>
      <c r="N638" s="71"/>
      <c r="O638" s="71"/>
      <c r="P638" s="71"/>
      <c r="Q638" s="71"/>
    </row>
    <row r="639" spans="1:17" x14ac:dyDescent="0.3">
      <c r="A639" s="64" t="s">
        <v>1567</v>
      </c>
      <c r="B639" s="74" t="s">
        <v>1407</v>
      </c>
      <c r="C639" s="74" t="s">
        <v>1568</v>
      </c>
      <c r="D639" s="74"/>
      <c r="E639" s="74"/>
      <c r="F639" s="74" t="s">
        <v>521</v>
      </c>
      <c r="G639" s="75"/>
      <c r="M639" s="74"/>
      <c r="N639" s="74"/>
      <c r="O639" s="74"/>
      <c r="P639" s="74"/>
      <c r="Q639" s="74"/>
    </row>
    <row r="640" spans="1:17" x14ac:dyDescent="0.3">
      <c r="A640" s="64" t="s">
        <v>1569</v>
      </c>
      <c r="B640" s="98" t="s">
        <v>1407</v>
      </c>
      <c r="C640" s="98" t="s">
        <v>1571</v>
      </c>
      <c r="D640" s="99" t="s">
        <v>1572</v>
      </c>
      <c r="E640" s="100">
        <v>2</v>
      </c>
      <c r="F640" s="103" t="s">
        <v>22</v>
      </c>
      <c r="G640" s="101"/>
      <c r="M640" s="98">
        <v>30</v>
      </c>
      <c r="N640" s="98" t="s">
        <v>1570</v>
      </c>
      <c r="O640" s="99" t="s">
        <v>46</v>
      </c>
      <c r="P640" s="98" t="s">
        <v>444</v>
      </c>
      <c r="Q640" s="99" t="s">
        <v>48</v>
      </c>
    </row>
    <row r="641" spans="1:17" x14ac:dyDescent="0.3">
      <c r="A641" s="70" t="s">
        <v>1569</v>
      </c>
      <c r="B641" s="71" t="s">
        <v>1407</v>
      </c>
      <c r="C641" s="71" t="s">
        <v>1573</v>
      </c>
      <c r="D641" s="71"/>
      <c r="E641" s="71"/>
      <c r="F641" s="71" t="s">
        <v>895</v>
      </c>
      <c r="G641" s="72"/>
      <c r="M641" s="71"/>
      <c r="N641" s="71"/>
      <c r="O641" s="71"/>
      <c r="P641" s="71"/>
      <c r="Q641" s="71"/>
    </row>
    <row r="642" spans="1:17" x14ac:dyDescent="0.3">
      <c r="A642" s="64" t="s">
        <v>1574</v>
      </c>
      <c r="B642" s="98" t="s">
        <v>1407</v>
      </c>
      <c r="C642" s="98" t="s">
        <v>1575</v>
      </c>
      <c r="D642" s="99" t="s">
        <v>1572</v>
      </c>
      <c r="E642" s="100">
        <v>4</v>
      </c>
      <c r="F642" s="103" t="s">
        <v>1239</v>
      </c>
      <c r="G642" s="101"/>
      <c r="M642" s="98">
        <v>30</v>
      </c>
      <c r="N642" s="98" t="s">
        <v>1570</v>
      </c>
      <c r="O642" s="99" t="s">
        <v>46</v>
      </c>
      <c r="P642" s="98" t="s">
        <v>399</v>
      </c>
      <c r="Q642" s="99" t="s">
        <v>48</v>
      </c>
    </row>
    <row r="643" spans="1:17" x14ac:dyDescent="0.3">
      <c r="A643" s="64" t="s">
        <v>1574</v>
      </c>
      <c r="B643" s="74" t="s">
        <v>1407</v>
      </c>
      <c r="C643" s="74" t="s">
        <v>1576</v>
      </c>
      <c r="D643" s="74"/>
      <c r="E643" s="74"/>
      <c r="F643" s="74" t="s">
        <v>890</v>
      </c>
      <c r="G643" s="75"/>
      <c r="M643" s="74"/>
      <c r="N643" s="74"/>
      <c r="O643" s="74"/>
      <c r="P643" s="74"/>
      <c r="Q643" s="74"/>
    </row>
    <row r="644" spans="1:17" x14ac:dyDescent="0.3">
      <c r="A644" s="70" t="s">
        <v>1577</v>
      </c>
      <c r="B644" s="71" t="s">
        <v>1407</v>
      </c>
      <c r="C644" s="71" t="s">
        <v>1578</v>
      </c>
      <c r="D644" s="71"/>
      <c r="E644" s="71"/>
      <c r="F644" s="71" t="s">
        <v>1262</v>
      </c>
      <c r="G644" s="72"/>
      <c r="M644" s="71"/>
      <c r="N644" s="71"/>
      <c r="O644" s="71"/>
      <c r="P644" s="71"/>
      <c r="Q644" s="71"/>
    </row>
    <row r="645" spans="1:17" x14ac:dyDescent="0.3">
      <c r="A645" s="64" t="s">
        <v>1577</v>
      </c>
      <c r="B645" s="98" t="s">
        <v>1407</v>
      </c>
      <c r="C645" s="98" t="s">
        <v>1579</v>
      </c>
      <c r="D645" s="99" t="s">
        <v>1572</v>
      </c>
      <c r="E645" s="100">
        <v>5</v>
      </c>
      <c r="F645" s="103" t="s">
        <v>1259</v>
      </c>
      <c r="G645" s="101"/>
      <c r="M645" s="98">
        <v>30</v>
      </c>
      <c r="N645" s="98" t="s">
        <v>1570</v>
      </c>
      <c r="O645" s="99" t="s">
        <v>46</v>
      </c>
      <c r="P645" s="98" t="s">
        <v>399</v>
      </c>
      <c r="Q645" s="99" t="s">
        <v>233</v>
      </c>
    </row>
    <row r="646" spans="1:17" x14ac:dyDescent="0.3">
      <c r="A646" s="64" t="s">
        <v>1580</v>
      </c>
      <c r="B646" s="98" t="s">
        <v>1407</v>
      </c>
      <c r="C646" s="98" t="s">
        <v>1581</v>
      </c>
      <c r="D646" s="99" t="s">
        <v>1582</v>
      </c>
      <c r="E646" s="102">
        <v>3</v>
      </c>
      <c r="F646" s="102" t="s">
        <v>30</v>
      </c>
      <c r="G646" s="101"/>
      <c r="M646" s="98">
        <v>30</v>
      </c>
      <c r="N646" s="98" t="s">
        <v>1570</v>
      </c>
      <c r="O646" s="99" t="s">
        <v>871</v>
      </c>
      <c r="P646" s="98" t="s">
        <v>399</v>
      </c>
      <c r="Q646" s="99" t="s">
        <v>233</v>
      </c>
    </row>
    <row r="647" spans="1:17" x14ac:dyDescent="0.3">
      <c r="A647" s="64" t="s">
        <v>1580</v>
      </c>
      <c r="B647" s="74" t="s">
        <v>1407</v>
      </c>
      <c r="C647" s="74" t="s">
        <v>1583</v>
      </c>
      <c r="D647" s="74"/>
      <c r="E647" s="74"/>
      <c r="F647" s="74" t="s">
        <v>1287</v>
      </c>
      <c r="G647" s="75"/>
      <c r="M647" s="74"/>
      <c r="N647" s="74"/>
      <c r="O647" s="74"/>
      <c r="P647" s="74"/>
      <c r="Q647" s="74"/>
    </row>
    <row r="648" spans="1:17" x14ac:dyDescent="0.3">
      <c r="A648" s="64" t="s">
        <v>1584</v>
      </c>
      <c r="B648" s="98" t="s">
        <v>1407</v>
      </c>
      <c r="C648" s="98" t="s">
        <v>1586</v>
      </c>
      <c r="D648" s="99" t="s">
        <v>1558</v>
      </c>
      <c r="E648" s="100">
        <v>2</v>
      </c>
      <c r="F648" s="100" t="s">
        <v>339</v>
      </c>
      <c r="G648" s="101"/>
      <c r="M648" s="98">
        <v>30</v>
      </c>
      <c r="N648" s="98" t="s">
        <v>1585</v>
      </c>
      <c r="O648" s="99" t="s">
        <v>46</v>
      </c>
      <c r="P648" s="98" t="s">
        <v>444</v>
      </c>
      <c r="Q648" s="99" t="s">
        <v>48</v>
      </c>
    </row>
    <row r="649" spans="1:17" x14ac:dyDescent="0.3">
      <c r="A649" s="70" t="s">
        <v>1584</v>
      </c>
      <c r="B649" s="71" t="s">
        <v>1407</v>
      </c>
      <c r="C649" s="71" t="s">
        <v>1587</v>
      </c>
      <c r="D649" s="71"/>
      <c r="E649" s="71"/>
      <c r="F649" s="71" t="s">
        <v>340</v>
      </c>
      <c r="G649" s="72"/>
      <c r="M649" s="71"/>
      <c r="N649" s="71"/>
      <c r="O649" s="71"/>
      <c r="P649" s="71"/>
      <c r="Q649" s="71"/>
    </row>
    <row r="650" spans="1:17" x14ac:dyDescent="0.3">
      <c r="A650" s="64" t="s">
        <v>1588</v>
      </c>
      <c r="B650" s="98" t="s">
        <v>1407</v>
      </c>
      <c r="C650" s="98" t="s">
        <v>1590</v>
      </c>
      <c r="D650" s="99" t="s">
        <v>1413</v>
      </c>
      <c r="E650" s="100">
        <v>3</v>
      </c>
      <c r="F650" s="100" t="s">
        <v>1370</v>
      </c>
      <c r="G650" s="101"/>
      <c r="M650" s="98">
        <v>30</v>
      </c>
      <c r="N650" s="98" t="s">
        <v>1589</v>
      </c>
      <c r="O650" s="99" t="s">
        <v>64</v>
      </c>
      <c r="P650" s="98" t="s">
        <v>399</v>
      </c>
      <c r="Q650" s="99" t="s">
        <v>82</v>
      </c>
    </row>
    <row r="651" spans="1:17" x14ac:dyDescent="0.3">
      <c r="A651" s="64" t="s">
        <v>1591</v>
      </c>
      <c r="B651" s="74" t="s">
        <v>1407</v>
      </c>
      <c r="C651" s="74" t="s">
        <v>1592</v>
      </c>
      <c r="D651" s="74"/>
      <c r="E651" s="74"/>
      <c r="F651" s="74" t="s">
        <v>347</v>
      </c>
      <c r="G651" s="75"/>
      <c r="M651" s="74"/>
      <c r="N651" s="74"/>
      <c r="O651" s="74"/>
      <c r="P651" s="74"/>
      <c r="Q651" s="74"/>
    </row>
    <row r="652" spans="1:17" x14ac:dyDescent="0.3">
      <c r="A652" s="64" t="s">
        <v>1591</v>
      </c>
      <c r="B652" s="98" t="s">
        <v>1407</v>
      </c>
      <c r="C652" s="98" t="s">
        <v>1594</v>
      </c>
      <c r="D652" s="99" t="s">
        <v>1413</v>
      </c>
      <c r="E652" s="100">
        <v>3</v>
      </c>
      <c r="F652" s="100" t="s">
        <v>345</v>
      </c>
      <c r="G652" s="101"/>
      <c r="M652" s="98">
        <v>30</v>
      </c>
      <c r="N652" s="98" t="s">
        <v>1593</v>
      </c>
      <c r="O652" s="99" t="s">
        <v>1411</v>
      </c>
      <c r="P652" s="98" t="s">
        <v>540</v>
      </c>
      <c r="Q652" s="99" t="s">
        <v>82</v>
      </c>
    </row>
    <row r="653" spans="1:17" x14ac:dyDescent="0.3">
      <c r="A653" s="70" t="s">
        <v>1595</v>
      </c>
      <c r="B653" s="71" t="s">
        <v>1407</v>
      </c>
      <c r="C653" s="71" t="s">
        <v>1596</v>
      </c>
      <c r="D653" s="71"/>
      <c r="E653" s="71"/>
      <c r="F653" s="71" t="s">
        <v>277</v>
      </c>
      <c r="G653" s="72"/>
      <c r="M653" s="71"/>
      <c r="N653" s="71"/>
      <c r="O653" s="71"/>
      <c r="P653" s="71"/>
      <c r="Q653" s="71"/>
    </row>
    <row r="654" spans="1:17" x14ac:dyDescent="0.3">
      <c r="A654" s="64" t="s">
        <v>1597</v>
      </c>
      <c r="B654" s="74" t="s">
        <v>349</v>
      </c>
      <c r="C654" s="74" t="s">
        <v>1598</v>
      </c>
      <c r="D654" s="74"/>
      <c r="E654" s="74"/>
      <c r="F654" s="74" t="s">
        <v>268</v>
      </c>
      <c r="G654" s="75"/>
      <c r="M654" s="74"/>
      <c r="N654" s="74"/>
      <c r="O654" s="74"/>
      <c r="P654" s="74"/>
      <c r="Q654" s="74"/>
    </row>
    <row r="655" spans="1:17" x14ac:dyDescent="0.3">
      <c r="A655" s="64" t="s">
        <v>1597</v>
      </c>
      <c r="B655" s="104" t="s">
        <v>349</v>
      </c>
      <c r="C655" s="104" t="s">
        <v>1599</v>
      </c>
      <c r="D655" s="105" t="s">
        <v>354</v>
      </c>
      <c r="E655" s="106">
        <v>5</v>
      </c>
      <c r="F655" s="106" t="s">
        <v>266</v>
      </c>
      <c r="G655" s="107"/>
      <c r="M655" s="104">
        <v>30</v>
      </c>
      <c r="N655" s="104" t="s">
        <v>1593</v>
      </c>
      <c r="O655" s="105" t="s">
        <v>280</v>
      </c>
      <c r="P655" s="104" t="s">
        <v>540</v>
      </c>
      <c r="Q655" s="105" t="s">
        <v>254</v>
      </c>
    </row>
    <row r="656" spans="1:17" x14ac:dyDescent="0.3">
      <c r="A656" s="64" t="s">
        <v>1600</v>
      </c>
      <c r="B656" s="104" t="s">
        <v>349</v>
      </c>
      <c r="C656" s="104" t="s">
        <v>1601</v>
      </c>
      <c r="D656" s="105" t="s">
        <v>354</v>
      </c>
      <c r="E656" s="106">
        <v>5</v>
      </c>
      <c r="F656" s="106" t="s">
        <v>1259</v>
      </c>
      <c r="G656" s="107"/>
      <c r="M656" s="104">
        <v>30</v>
      </c>
      <c r="N656" s="104" t="s">
        <v>1593</v>
      </c>
      <c r="O656" s="105" t="s">
        <v>459</v>
      </c>
      <c r="P656" s="104" t="s">
        <v>540</v>
      </c>
      <c r="Q656" s="105" t="s">
        <v>571</v>
      </c>
    </row>
    <row r="657" spans="1:17" x14ac:dyDescent="0.3">
      <c r="A657" s="64" t="s">
        <v>1602</v>
      </c>
      <c r="B657" s="104" t="s">
        <v>349</v>
      </c>
      <c r="C657" s="104" t="s">
        <v>1603</v>
      </c>
      <c r="D657" s="105" t="s">
        <v>354</v>
      </c>
      <c r="E657" s="106">
        <v>6</v>
      </c>
      <c r="F657" s="106" t="s">
        <v>1604</v>
      </c>
      <c r="G657" s="107"/>
      <c r="M657" s="104">
        <v>30</v>
      </c>
      <c r="N657" s="104" t="s">
        <v>1593</v>
      </c>
      <c r="O657" s="105" t="s">
        <v>975</v>
      </c>
      <c r="P657" s="104" t="s">
        <v>540</v>
      </c>
      <c r="Q657" s="105" t="s">
        <v>575</v>
      </c>
    </row>
    <row r="658" spans="1:17" x14ac:dyDescent="0.3">
      <c r="A658" s="70" t="s">
        <v>1605</v>
      </c>
      <c r="B658" s="71" t="s">
        <v>349</v>
      </c>
      <c r="C658" s="71" t="s">
        <v>1606</v>
      </c>
      <c r="D658" s="71"/>
      <c r="E658" s="71"/>
      <c r="F658" s="71" t="s">
        <v>917</v>
      </c>
      <c r="G658" s="72"/>
      <c r="M658" s="71"/>
      <c r="N658" s="71"/>
      <c r="O658" s="71"/>
      <c r="P658" s="71"/>
      <c r="Q658" s="71"/>
    </row>
    <row r="659" spans="1:17" x14ac:dyDescent="0.3">
      <c r="A659" s="64" t="s">
        <v>1605</v>
      </c>
      <c r="B659" s="104" t="s">
        <v>349</v>
      </c>
      <c r="C659" s="104" t="s">
        <v>1607</v>
      </c>
      <c r="D659" s="105" t="s">
        <v>354</v>
      </c>
      <c r="E659" s="106">
        <v>6</v>
      </c>
      <c r="F659" s="106" t="s">
        <v>915</v>
      </c>
      <c r="G659" s="107"/>
      <c r="M659" s="104">
        <v>30</v>
      </c>
      <c r="N659" s="104" t="s">
        <v>1593</v>
      </c>
      <c r="O659" s="105" t="s">
        <v>1296</v>
      </c>
      <c r="P659" s="104" t="s">
        <v>540</v>
      </c>
      <c r="Q659" s="105" t="s">
        <v>579</v>
      </c>
    </row>
    <row r="660" spans="1:17" x14ac:dyDescent="0.3">
      <c r="A660" s="64" t="s">
        <v>1608</v>
      </c>
      <c r="B660" s="74"/>
      <c r="C660" s="74" t="s">
        <v>1609</v>
      </c>
      <c r="D660" s="74"/>
      <c r="E660" s="83">
        <v>1</v>
      </c>
      <c r="F660" s="83" t="s">
        <v>1610</v>
      </c>
      <c r="G660" s="75" t="s">
        <v>1141</v>
      </c>
      <c r="M660" s="74"/>
      <c r="N660" s="74"/>
      <c r="O660" s="74"/>
      <c r="P660" s="74"/>
      <c r="Q660" s="74"/>
    </row>
    <row r="661" spans="1:17" x14ac:dyDescent="0.3">
      <c r="A661" s="80" t="s">
        <v>1611</v>
      </c>
      <c r="B661" s="82" t="s">
        <v>65</v>
      </c>
      <c r="C661" s="81" t="s">
        <v>1613</v>
      </c>
      <c r="D661" s="82" t="s">
        <v>1614</v>
      </c>
      <c r="E661" s="83">
        <v>1</v>
      </c>
      <c r="F661" s="83" t="s">
        <v>1610</v>
      </c>
      <c r="G661" s="84"/>
      <c r="M661" s="81">
        <v>30</v>
      </c>
      <c r="N661" s="81" t="s">
        <v>1612</v>
      </c>
      <c r="O661" s="82" t="s">
        <v>443</v>
      </c>
      <c r="P661" s="81" t="s">
        <v>47</v>
      </c>
      <c r="Q661" s="82" t="s">
        <v>48</v>
      </c>
    </row>
    <row r="662" spans="1:17" x14ac:dyDescent="0.3">
      <c r="A662" s="70" t="s">
        <v>1615</v>
      </c>
      <c r="B662" s="71"/>
      <c r="C662" s="71" t="s">
        <v>1609</v>
      </c>
      <c r="D662" s="71"/>
      <c r="E662" s="67">
        <v>7</v>
      </c>
      <c r="F662" s="67" t="s">
        <v>1616</v>
      </c>
      <c r="G662" s="72" t="s">
        <v>1617</v>
      </c>
      <c r="M662" s="71"/>
      <c r="N662" s="71"/>
      <c r="O662" s="71"/>
      <c r="P662" s="71"/>
      <c r="Q662" s="71"/>
    </row>
    <row r="663" spans="1:17" x14ac:dyDescent="0.3">
      <c r="A663" s="73" t="s">
        <v>1618</v>
      </c>
      <c r="B663" s="66" t="s">
        <v>49</v>
      </c>
      <c r="C663" s="65" t="s">
        <v>1619</v>
      </c>
      <c r="D663" s="66" t="s">
        <v>1614</v>
      </c>
      <c r="E663" s="67">
        <v>7</v>
      </c>
      <c r="F663" s="67" t="s">
        <v>1616</v>
      </c>
      <c r="G663" s="68"/>
      <c r="M663" s="65">
        <v>30</v>
      </c>
      <c r="N663" s="65" t="s">
        <v>1612</v>
      </c>
      <c r="O663" s="66" t="s">
        <v>448</v>
      </c>
      <c r="P663" s="65" t="s">
        <v>47</v>
      </c>
      <c r="Q663" s="66" t="s">
        <v>48</v>
      </c>
    </row>
    <row r="664" spans="1:17" x14ac:dyDescent="0.3">
      <c r="A664" s="64" t="s">
        <v>1620</v>
      </c>
      <c r="B664" s="74"/>
      <c r="C664" s="74" t="s">
        <v>1609</v>
      </c>
      <c r="D664" s="74"/>
      <c r="E664" s="83">
        <v>2</v>
      </c>
      <c r="F664" s="83" t="s">
        <v>196</v>
      </c>
      <c r="G664" s="75" t="s">
        <v>198</v>
      </c>
      <c r="M664" s="74"/>
      <c r="N664" s="74"/>
      <c r="O664" s="74"/>
      <c r="P664" s="74"/>
      <c r="Q664" s="74"/>
    </row>
    <row r="665" spans="1:17" x14ac:dyDescent="0.3">
      <c r="A665" s="80" t="s">
        <v>1621</v>
      </c>
      <c r="B665" s="82" t="s">
        <v>65</v>
      </c>
      <c r="C665" s="81" t="s">
        <v>1623</v>
      </c>
      <c r="D665" s="82" t="s">
        <v>1614</v>
      </c>
      <c r="E665" s="83">
        <v>2</v>
      </c>
      <c r="F665" s="83" t="s">
        <v>196</v>
      </c>
      <c r="G665" s="84"/>
      <c r="M665" s="81">
        <v>30</v>
      </c>
      <c r="N665" s="81" t="s">
        <v>1612</v>
      </c>
      <c r="O665" s="82" t="s">
        <v>1622</v>
      </c>
      <c r="P665" s="81" t="s">
        <v>47</v>
      </c>
      <c r="Q665" s="82" t="s">
        <v>48</v>
      </c>
    </row>
    <row r="666" spans="1:17" x14ac:dyDescent="0.3">
      <c r="A666" s="70" t="s">
        <v>1624</v>
      </c>
      <c r="B666" s="71"/>
      <c r="C666" s="71" t="s">
        <v>1625</v>
      </c>
      <c r="D666" s="71"/>
      <c r="E666" s="71"/>
      <c r="F666" s="71"/>
      <c r="G666" s="72" t="s">
        <v>1626</v>
      </c>
      <c r="M666" s="71"/>
      <c r="N666" s="71"/>
      <c r="O666" s="71"/>
      <c r="P666" s="71"/>
      <c r="Q666" s="71"/>
    </row>
    <row r="667" spans="1:17" x14ac:dyDescent="0.3">
      <c r="A667" s="73" t="s">
        <v>1627</v>
      </c>
      <c r="B667" s="66" t="s">
        <v>49</v>
      </c>
      <c r="C667" s="65" t="s">
        <v>1629</v>
      </c>
      <c r="D667" s="66" t="s">
        <v>1614</v>
      </c>
      <c r="E667" s="67">
        <v>10</v>
      </c>
      <c r="F667" s="67" t="s">
        <v>1630</v>
      </c>
      <c r="G667" s="68" t="s">
        <v>1482</v>
      </c>
      <c r="M667" s="65">
        <v>30</v>
      </c>
      <c r="N667" s="65" t="s">
        <v>1628</v>
      </c>
      <c r="O667" s="66" t="s">
        <v>443</v>
      </c>
      <c r="P667" s="65" t="s">
        <v>47</v>
      </c>
      <c r="Q667" s="66" t="s">
        <v>48</v>
      </c>
    </row>
    <row r="668" spans="1:17" x14ac:dyDescent="0.3">
      <c r="A668" s="64" t="s">
        <v>1631</v>
      </c>
      <c r="B668" s="74"/>
      <c r="C668" s="74" t="s">
        <v>1632</v>
      </c>
      <c r="D668" s="74"/>
      <c r="E668" s="74"/>
      <c r="F668" s="74"/>
      <c r="G668" s="75" t="s">
        <v>1633</v>
      </c>
      <c r="M668" s="74"/>
      <c r="N668" s="74"/>
      <c r="O668" s="74"/>
      <c r="P668" s="74"/>
      <c r="Q668" s="74"/>
    </row>
    <row r="669" spans="1:17" x14ac:dyDescent="0.3">
      <c r="A669" s="73" t="s">
        <v>1634</v>
      </c>
      <c r="B669" s="66" t="s">
        <v>49</v>
      </c>
      <c r="C669" s="65" t="s">
        <v>1635</v>
      </c>
      <c r="D669" s="66" t="s">
        <v>1614</v>
      </c>
      <c r="E669" s="67">
        <v>11</v>
      </c>
      <c r="F669" s="67" t="s">
        <v>1636</v>
      </c>
      <c r="G669" s="68" t="s">
        <v>1482</v>
      </c>
      <c r="M669" s="65">
        <v>30</v>
      </c>
      <c r="N669" s="65" t="s">
        <v>1628</v>
      </c>
      <c r="O669" s="66" t="s">
        <v>448</v>
      </c>
      <c r="P669" s="65" t="s">
        <v>47</v>
      </c>
      <c r="Q669" s="66" t="s">
        <v>48</v>
      </c>
    </row>
    <row r="670" spans="1:17" x14ac:dyDescent="0.3">
      <c r="A670" s="70" t="s">
        <v>1637</v>
      </c>
      <c r="B670" s="71"/>
      <c r="C670" s="71" t="s">
        <v>1638</v>
      </c>
      <c r="D670" s="71"/>
      <c r="E670" s="71"/>
      <c r="F670" s="71"/>
      <c r="G670" s="72" t="s">
        <v>203</v>
      </c>
      <c r="M670" s="71"/>
      <c r="N670" s="71"/>
      <c r="O670" s="71"/>
      <c r="P670" s="71"/>
      <c r="Q670" s="71"/>
    </row>
    <row r="671" spans="1:17" x14ac:dyDescent="0.3">
      <c r="A671" s="73" t="s">
        <v>1639</v>
      </c>
      <c r="B671" s="66" t="s">
        <v>49</v>
      </c>
      <c r="C671" s="65" t="s">
        <v>1640</v>
      </c>
      <c r="D671" s="66" t="s">
        <v>1614</v>
      </c>
      <c r="E671" s="67">
        <v>12</v>
      </c>
      <c r="F671" s="67" t="s">
        <v>1641</v>
      </c>
      <c r="G671" s="68" t="s">
        <v>1482</v>
      </c>
      <c r="M671" s="65">
        <v>30</v>
      </c>
      <c r="N671" s="65" t="s">
        <v>1628</v>
      </c>
      <c r="O671" s="66" t="s">
        <v>1622</v>
      </c>
      <c r="P671" s="65" t="s">
        <v>47</v>
      </c>
      <c r="Q671" s="66" t="s">
        <v>48</v>
      </c>
    </row>
    <row r="672" spans="1:17" x14ac:dyDescent="0.3">
      <c r="A672" s="64" t="s">
        <v>1642</v>
      </c>
      <c r="B672" s="74"/>
      <c r="C672" s="74" t="s">
        <v>1643</v>
      </c>
      <c r="D672" s="74"/>
      <c r="E672" s="74"/>
      <c r="F672" s="74"/>
      <c r="G672" s="75" t="s">
        <v>1644</v>
      </c>
      <c r="M672" s="74"/>
      <c r="N672" s="74"/>
      <c r="O672" s="74"/>
      <c r="P672" s="74"/>
      <c r="Q672" s="74"/>
    </row>
    <row r="673" spans="1:17" x14ac:dyDescent="0.3">
      <c r="A673" s="73" t="s">
        <v>1645</v>
      </c>
      <c r="B673" s="66" t="s">
        <v>49</v>
      </c>
      <c r="C673" s="65" t="s">
        <v>1647</v>
      </c>
      <c r="D673" s="66" t="s">
        <v>1614</v>
      </c>
      <c r="E673" s="67">
        <v>13</v>
      </c>
      <c r="F673" s="67" t="s">
        <v>1648</v>
      </c>
      <c r="G673" s="68" t="s">
        <v>1482</v>
      </c>
      <c r="M673" s="65">
        <v>30</v>
      </c>
      <c r="N673" s="65" t="s">
        <v>1628</v>
      </c>
      <c r="O673" s="66" t="s">
        <v>1646</v>
      </c>
      <c r="P673" s="65" t="s">
        <v>47</v>
      </c>
      <c r="Q673" s="66" t="s">
        <v>48</v>
      </c>
    </row>
    <row r="674" spans="1:17" x14ac:dyDescent="0.3">
      <c r="A674" s="64" t="s">
        <v>1649</v>
      </c>
      <c r="B674" s="104" t="s">
        <v>349</v>
      </c>
      <c r="C674" s="104" t="s">
        <v>1650</v>
      </c>
      <c r="D674" s="105" t="s">
        <v>354</v>
      </c>
      <c r="E674" s="106">
        <v>7</v>
      </c>
      <c r="F674" s="106" t="s">
        <v>229</v>
      </c>
      <c r="G674" s="107"/>
      <c r="M674" s="104"/>
      <c r="N674" s="104"/>
      <c r="O674" s="105"/>
      <c r="P674" s="104"/>
      <c r="Q674" s="105"/>
    </row>
    <row r="675" spans="1:17" x14ac:dyDescent="0.3">
      <c r="A675" s="70" t="s">
        <v>1649</v>
      </c>
      <c r="B675" s="71" t="s">
        <v>349</v>
      </c>
      <c r="C675" s="71" t="s">
        <v>1651</v>
      </c>
      <c r="D675" s="71"/>
      <c r="E675" s="71"/>
      <c r="F675" s="71" t="s">
        <v>226</v>
      </c>
      <c r="G675" s="72"/>
      <c r="M675" s="71"/>
      <c r="N675" s="71"/>
      <c r="O675" s="71"/>
      <c r="P675" s="71"/>
      <c r="Q675" s="71"/>
    </row>
    <row r="676" spans="1:17" x14ac:dyDescent="0.3">
      <c r="A676" s="64" t="s">
        <v>1652</v>
      </c>
      <c r="B676" s="74" t="s">
        <v>349</v>
      </c>
      <c r="C676" s="74" t="s">
        <v>1651</v>
      </c>
      <c r="D676" s="74"/>
      <c r="E676" s="74"/>
      <c r="F676" s="74" t="s">
        <v>226</v>
      </c>
      <c r="G676" s="75"/>
      <c r="M676" s="74"/>
      <c r="N676" s="74"/>
      <c r="O676" s="74"/>
      <c r="P676" s="74"/>
      <c r="Q676" s="74"/>
    </row>
    <row r="677" spans="1:17" x14ac:dyDescent="0.3">
      <c r="A677" s="70" t="s">
        <v>1653</v>
      </c>
      <c r="B677" s="71" t="s">
        <v>349</v>
      </c>
      <c r="C677" s="71" t="s">
        <v>1654</v>
      </c>
      <c r="D677" s="71"/>
      <c r="E677" s="71"/>
      <c r="F677" s="71" t="s">
        <v>24</v>
      </c>
      <c r="G677" s="72"/>
      <c r="M677" s="71"/>
      <c r="N677" s="71"/>
      <c r="O677" s="71"/>
      <c r="P677" s="71"/>
      <c r="Q677" s="71"/>
    </row>
    <row r="678" spans="1:17" x14ac:dyDescent="0.3">
      <c r="A678" s="64" t="s">
        <v>1653</v>
      </c>
      <c r="B678" s="104" t="s">
        <v>349</v>
      </c>
      <c r="C678" s="104" t="s">
        <v>1656</v>
      </c>
      <c r="D678" s="105" t="s">
        <v>354</v>
      </c>
      <c r="E678" s="106">
        <v>1</v>
      </c>
      <c r="F678" s="108" t="s">
        <v>20</v>
      </c>
      <c r="G678" s="107"/>
      <c r="M678" s="104">
        <v>30</v>
      </c>
      <c r="N678" s="104" t="s">
        <v>1655</v>
      </c>
      <c r="O678" s="105" t="s">
        <v>443</v>
      </c>
      <c r="P678" s="104" t="s">
        <v>540</v>
      </c>
      <c r="Q678" s="105" t="s">
        <v>48</v>
      </c>
    </row>
    <row r="679" spans="1:17" x14ac:dyDescent="0.3">
      <c r="A679" s="64" t="s">
        <v>1657</v>
      </c>
      <c r="B679" s="104" t="s">
        <v>349</v>
      </c>
      <c r="C679" s="104" t="s">
        <v>1658</v>
      </c>
      <c r="D679" s="105" t="s">
        <v>354</v>
      </c>
      <c r="E679" s="106">
        <v>3</v>
      </c>
      <c r="F679" s="108" t="s">
        <v>345</v>
      </c>
      <c r="G679" s="107"/>
      <c r="M679" s="104">
        <v>30</v>
      </c>
      <c r="N679" s="104" t="s">
        <v>1655</v>
      </c>
      <c r="O679" s="105" t="s">
        <v>443</v>
      </c>
      <c r="P679" s="104" t="s">
        <v>540</v>
      </c>
      <c r="Q679" s="105" t="s">
        <v>616</v>
      </c>
    </row>
    <row r="680" spans="1:17" x14ac:dyDescent="0.3">
      <c r="A680" s="64" t="s">
        <v>1657</v>
      </c>
      <c r="B680" s="74" t="s">
        <v>349</v>
      </c>
      <c r="C680" s="74" t="s">
        <v>1659</v>
      </c>
      <c r="D680" s="74"/>
      <c r="E680" s="74"/>
      <c r="F680" s="74" t="s">
        <v>347</v>
      </c>
      <c r="G680" s="75"/>
      <c r="M680" s="74"/>
      <c r="N680" s="74"/>
      <c r="O680" s="74"/>
      <c r="P680" s="74"/>
      <c r="Q680" s="74"/>
    </row>
    <row r="681" spans="1:17" x14ac:dyDescent="0.3">
      <c r="A681" s="64" t="s">
        <v>1660</v>
      </c>
      <c r="B681" s="104" t="s">
        <v>349</v>
      </c>
      <c r="C681" s="104" t="s">
        <v>1661</v>
      </c>
      <c r="D681" s="105" t="s">
        <v>354</v>
      </c>
      <c r="E681" s="106">
        <v>4</v>
      </c>
      <c r="F681" s="108" t="s">
        <v>1230</v>
      </c>
      <c r="G681" s="107"/>
      <c r="M681" s="104">
        <v>30</v>
      </c>
      <c r="N681" s="104" t="s">
        <v>1655</v>
      </c>
      <c r="O681" s="105" t="s">
        <v>443</v>
      </c>
      <c r="P681" s="104" t="s">
        <v>540</v>
      </c>
      <c r="Q681" s="105" t="s">
        <v>619</v>
      </c>
    </row>
    <row r="682" spans="1:17" x14ac:dyDescent="0.3">
      <c r="A682" s="70" t="s">
        <v>1660</v>
      </c>
      <c r="B682" s="71" t="s">
        <v>349</v>
      </c>
      <c r="C682" s="71" t="s">
        <v>1659</v>
      </c>
      <c r="D682" s="71"/>
      <c r="E682" s="71"/>
      <c r="F682" s="71" t="s">
        <v>1228</v>
      </c>
      <c r="G682" s="72"/>
      <c r="M682" s="71"/>
      <c r="N682" s="71"/>
      <c r="O682" s="71"/>
      <c r="P682" s="71"/>
      <c r="Q682" s="71"/>
    </row>
    <row r="683" spans="1:17" x14ac:dyDescent="0.3">
      <c r="A683" s="64" t="s">
        <v>1662</v>
      </c>
      <c r="B683" s="74" t="s">
        <v>349</v>
      </c>
      <c r="C683" s="74" t="s">
        <v>1663</v>
      </c>
      <c r="D683" s="74"/>
      <c r="E683" s="74"/>
      <c r="F683" s="74" t="s">
        <v>1065</v>
      </c>
      <c r="G683" s="75"/>
      <c r="M683" s="74"/>
      <c r="N683" s="74"/>
      <c r="O683" s="74"/>
      <c r="P683" s="74"/>
      <c r="Q683" s="74"/>
    </row>
    <row r="684" spans="1:17" x14ac:dyDescent="0.3">
      <c r="A684" s="64" t="s">
        <v>1662</v>
      </c>
      <c r="B684" s="104" t="s">
        <v>349</v>
      </c>
      <c r="C684" s="104" t="s">
        <v>1664</v>
      </c>
      <c r="D684" s="105" t="s">
        <v>354</v>
      </c>
      <c r="E684" s="106">
        <v>5</v>
      </c>
      <c r="F684" s="106" t="s">
        <v>1062</v>
      </c>
      <c r="G684" s="107"/>
      <c r="M684" s="104">
        <v>30</v>
      </c>
      <c r="N684" s="104" t="s">
        <v>1655</v>
      </c>
      <c r="O684" s="105" t="s">
        <v>443</v>
      </c>
      <c r="P684" s="104" t="s">
        <v>540</v>
      </c>
      <c r="Q684" s="105" t="s">
        <v>233</v>
      </c>
    </row>
    <row r="685" spans="1:17" x14ac:dyDescent="0.3">
      <c r="A685" s="64" t="s">
        <v>1665</v>
      </c>
      <c r="B685" s="104" t="s">
        <v>349</v>
      </c>
      <c r="C685" s="104" t="s">
        <v>1666</v>
      </c>
      <c r="D685" s="105" t="s">
        <v>354</v>
      </c>
      <c r="E685" s="106">
        <v>2</v>
      </c>
      <c r="F685" s="108" t="s">
        <v>22</v>
      </c>
      <c r="G685" s="107"/>
      <c r="M685" s="104">
        <v>30</v>
      </c>
      <c r="N685" s="104" t="s">
        <v>1655</v>
      </c>
      <c r="O685" s="105" t="s">
        <v>443</v>
      </c>
      <c r="P685" s="104" t="s">
        <v>399</v>
      </c>
      <c r="Q685" s="105" t="s">
        <v>48</v>
      </c>
    </row>
    <row r="686" spans="1:17" x14ac:dyDescent="0.3">
      <c r="A686" s="70" t="s">
        <v>1665</v>
      </c>
      <c r="B686" s="71" t="s">
        <v>349</v>
      </c>
      <c r="C686" s="71" t="s">
        <v>1667</v>
      </c>
      <c r="D686" s="71"/>
      <c r="E686" s="71"/>
      <c r="F686" s="71" t="s">
        <v>895</v>
      </c>
      <c r="G686" s="72"/>
      <c r="M686" s="71"/>
      <c r="N686" s="71"/>
      <c r="O686" s="71"/>
      <c r="P686" s="71"/>
      <c r="Q686" s="71"/>
    </row>
    <row r="687" spans="1:17" x14ac:dyDescent="0.3">
      <c r="A687" s="64" t="s">
        <v>1668</v>
      </c>
      <c r="B687" s="74" t="s">
        <v>349</v>
      </c>
      <c r="C687" s="74" t="s">
        <v>1669</v>
      </c>
      <c r="D687" s="74"/>
      <c r="E687" s="74"/>
      <c r="F687" s="74" t="s">
        <v>1247</v>
      </c>
      <c r="G687" s="75"/>
      <c r="M687" s="74"/>
      <c r="N687" s="74"/>
      <c r="O687" s="74"/>
      <c r="P687" s="74"/>
      <c r="Q687" s="74"/>
    </row>
    <row r="688" spans="1:17" x14ac:dyDescent="0.3">
      <c r="A688" s="64" t="s">
        <v>1668</v>
      </c>
      <c r="B688" s="104" t="s">
        <v>349</v>
      </c>
      <c r="C688" s="104" t="s">
        <v>1670</v>
      </c>
      <c r="D688" s="105" t="s">
        <v>354</v>
      </c>
      <c r="E688" s="106">
        <v>1</v>
      </c>
      <c r="F688" s="108" t="s">
        <v>958</v>
      </c>
      <c r="G688" s="107"/>
      <c r="M688" s="104">
        <v>30</v>
      </c>
      <c r="N688" s="104" t="s">
        <v>1655</v>
      </c>
      <c r="O688" s="105" t="s">
        <v>448</v>
      </c>
      <c r="P688" s="104" t="s">
        <v>540</v>
      </c>
      <c r="Q688" s="105" t="s">
        <v>48</v>
      </c>
    </row>
    <row r="689" spans="1:17" x14ac:dyDescent="0.3">
      <c r="A689" s="64" t="s">
        <v>1671</v>
      </c>
      <c r="B689" s="104" t="s">
        <v>349</v>
      </c>
      <c r="C689" s="104" t="s">
        <v>1672</v>
      </c>
      <c r="D689" s="105" t="s">
        <v>354</v>
      </c>
      <c r="E689" s="106">
        <v>3</v>
      </c>
      <c r="F689" s="108" t="s">
        <v>28</v>
      </c>
      <c r="G689" s="107"/>
      <c r="M689" s="104">
        <v>30</v>
      </c>
      <c r="N689" s="104" t="s">
        <v>1655</v>
      </c>
      <c r="O689" s="105" t="s">
        <v>448</v>
      </c>
      <c r="P689" s="104" t="s">
        <v>540</v>
      </c>
      <c r="Q689" s="105" t="s">
        <v>616</v>
      </c>
    </row>
    <row r="690" spans="1:17" x14ac:dyDescent="0.3">
      <c r="A690" s="70" t="s">
        <v>1671</v>
      </c>
      <c r="B690" s="71" t="s">
        <v>349</v>
      </c>
      <c r="C690" s="71" t="s">
        <v>1673</v>
      </c>
      <c r="D690" s="71"/>
      <c r="E690" s="71"/>
      <c r="F690" s="71" t="s">
        <v>277</v>
      </c>
      <c r="G690" s="72"/>
      <c r="M690" s="71"/>
      <c r="N690" s="71"/>
      <c r="O690" s="71"/>
      <c r="P690" s="71"/>
      <c r="Q690" s="71"/>
    </row>
    <row r="691" spans="1:17" x14ac:dyDescent="0.3">
      <c r="A691" s="64" t="s">
        <v>1674</v>
      </c>
      <c r="B691" s="104" t="s">
        <v>349</v>
      </c>
      <c r="C691" s="104" t="s">
        <v>1675</v>
      </c>
      <c r="D691" s="105" t="s">
        <v>354</v>
      </c>
      <c r="E691" s="106">
        <v>4</v>
      </c>
      <c r="F691" s="108" t="s">
        <v>1304</v>
      </c>
      <c r="G691" s="107"/>
      <c r="M691" s="104">
        <v>30</v>
      </c>
      <c r="N691" s="104" t="s">
        <v>1655</v>
      </c>
      <c r="O691" s="105" t="s">
        <v>448</v>
      </c>
      <c r="P691" s="104" t="s">
        <v>540</v>
      </c>
      <c r="Q691" s="105" t="s">
        <v>619</v>
      </c>
    </row>
    <row r="692" spans="1:17" x14ac:dyDescent="0.3">
      <c r="A692" s="64" t="s">
        <v>1674</v>
      </c>
      <c r="B692" s="74" t="s">
        <v>349</v>
      </c>
      <c r="C692" s="74" t="s">
        <v>1673</v>
      </c>
      <c r="D692" s="74"/>
      <c r="E692" s="74"/>
      <c r="F692" s="74" t="s">
        <v>1302</v>
      </c>
      <c r="G692" s="75"/>
      <c r="M692" s="74"/>
      <c r="N692" s="74"/>
      <c r="O692" s="74"/>
      <c r="P692" s="74"/>
      <c r="Q692" s="74"/>
    </row>
    <row r="693" spans="1:17" x14ac:dyDescent="0.3">
      <c r="A693" s="70" t="s">
        <v>1676</v>
      </c>
      <c r="B693" s="71" t="s">
        <v>349</v>
      </c>
      <c r="C693" s="71" t="s">
        <v>1677</v>
      </c>
      <c r="D693" s="71"/>
      <c r="E693" s="71"/>
      <c r="F693" s="71" t="s">
        <v>1274</v>
      </c>
      <c r="G693" s="72"/>
      <c r="M693" s="71"/>
      <c r="N693" s="71"/>
      <c r="O693" s="71"/>
      <c r="P693" s="71"/>
      <c r="Q693" s="71"/>
    </row>
    <row r="694" spans="1:17" x14ac:dyDescent="0.3">
      <c r="A694" s="64" t="s">
        <v>1676</v>
      </c>
      <c r="B694" s="104" t="s">
        <v>349</v>
      </c>
      <c r="C694" s="104" t="s">
        <v>1678</v>
      </c>
      <c r="D694" s="105" t="s">
        <v>354</v>
      </c>
      <c r="E694" s="106">
        <v>5</v>
      </c>
      <c r="F694" s="106" t="s">
        <v>1276</v>
      </c>
      <c r="G694" s="107"/>
      <c r="M694" s="104">
        <v>30</v>
      </c>
      <c r="N694" s="104" t="s">
        <v>1655</v>
      </c>
      <c r="O694" s="105" t="s">
        <v>448</v>
      </c>
      <c r="P694" s="104" t="s">
        <v>540</v>
      </c>
      <c r="Q694" s="105" t="s">
        <v>317</v>
      </c>
    </row>
    <row r="695" spans="1:17" x14ac:dyDescent="0.3">
      <c r="A695" s="64" t="s">
        <v>1679</v>
      </c>
      <c r="B695" s="104" t="s">
        <v>349</v>
      </c>
      <c r="C695" s="104" t="s">
        <v>1680</v>
      </c>
      <c r="D695" s="105" t="s">
        <v>354</v>
      </c>
      <c r="E695" s="106">
        <v>3</v>
      </c>
      <c r="F695" s="108" t="s">
        <v>1126</v>
      </c>
      <c r="G695" s="107"/>
      <c r="M695" s="104">
        <v>30</v>
      </c>
      <c r="N695" s="104" t="s">
        <v>1655</v>
      </c>
      <c r="O695" s="105" t="s">
        <v>448</v>
      </c>
      <c r="P695" s="104" t="s">
        <v>399</v>
      </c>
      <c r="Q695" s="105" t="s">
        <v>48</v>
      </c>
    </row>
    <row r="696" spans="1:17" x14ac:dyDescent="0.3">
      <c r="A696" s="64" t="s">
        <v>1679</v>
      </c>
      <c r="B696" s="74" t="s">
        <v>349</v>
      </c>
      <c r="C696" s="74" t="s">
        <v>1681</v>
      </c>
      <c r="D696" s="74"/>
      <c r="E696" s="74"/>
      <c r="F696" s="74" t="s">
        <v>1294</v>
      </c>
      <c r="G696" s="75"/>
      <c r="M696" s="74"/>
      <c r="N696" s="74"/>
      <c r="O696" s="74"/>
      <c r="P696" s="74"/>
      <c r="Q696" s="74"/>
    </row>
    <row r="697" spans="1:17" x14ac:dyDescent="0.3">
      <c r="A697" s="70" t="s">
        <v>1682</v>
      </c>
      <c r="B697" s="71" t="s">
        <v>349</v>
      </c>
      <c r="C697" s="71" t="s">
        <v>1683</v>
      </c>
      <c r="D697" s="71"/>
      <c r="E697" s="71"/>
      <c r="F697" s="71" t="s">
        <v>1430</v>
      </c>
      <c r="G697" s="72"/>
      <c r="M697" s="71"/>
      <c r="N697" s="71"/>
      <c r="O697" s="71"/>
      <c r="P697" s="71"/>
      <c r="Q697" s="71"/>
    </row>
    <row r="698" spans="1:17" x14ac:dyDescent="0.3">
      <c r="A698" s="64" t="s">
        <v>1682</v>
      </c>
      <c r="B698" s="104" t="s">
        <v>349</v>
      </c>
      <c r="C698" s="104" t="s">
        <v>1684</v>
      </c>
      <c r="D698" s="105" t="s">
        <v>354</v>
      </c>
      <c r="E698" s="106">
        <v>2</v>
      </c>
      <c r="F698" s="108" t="s">
        <v>26</v>
      </c>
      <c r="G698" s="107"/>
      <c r="M698" s="104">
        <v>30</v>
      </c>
      <c r="N698" s="104" t="s">
        <v>1655</v>
      </c>
      <c r="O698" s="105" t="s">
        <v>1622</v>
      </c>
      <c r="P698" s="104" t="s">
        <v>540</v>
      </c>
      <c r="Q698" s="105" t="s">
        <v>48</v>
      </c>
    </row>
    <row r="699" spans="1:17" x14ac:dyDescent="0.3">
      <c r="A699" s="64" t="s">
        <v>1685</v>
      </c>
      <c r="B699" s="104" t="s">
        <v>349</v>
      </c>
      <c r="C699" s="104" t="s">
        <v>1686</v>
      </c>
      <c r="D699" s="105" t="s">
        <v>354</v>
      </c>
      <c r="E699" s="106">
        <v>3</v>
      </c>
      <c r="F699" s="108" t="s">
        <v>30</v>
      </c>
      <c r="G699" s="107"/>
      <c r="M699" s="104">
        <v>30</v>
      </c>
      <c r="N699" s="104" t="s">
        <v>1655</v>
      </c>
      <c r="O699" s="105" t="s">
        <v>1622</v>
      </c>
      <c r="P699" s="104" t="s">
        <v>540</v>
      </c>
      <c r="Q699" s="105" t="s">
        <v>616</v>
      </c>
    </row>
    <row r="700" spans="1:17" x14ac:dyDescent="0.3">
      <c r="A700" s="64" t="s">
        <v>1685</v>
      </c>
      <c r="B700" s="74" t="s">
        <v>349</v>
      </c>
      <c r="C700" s="74" t="s">
        <v>1687</v>
      </c>
      <c r="D700" s="74"/>
      <c r="E700" s="74"/>
      <c r="F700" s="74" t="s">
        <v>1287</v>
      </c>
      <c r="G700" s="75"/>
      <c r="M700" s="74"/>
      <c r="N700" s="74"/>
      <c r="O700" s="74"/>
      <c r="P700" s="74"/>
      <c r="Q700" s="74"/>
    </row>
    <row r="701" spans="1:17" x14ac:dyDescent="0.3">
      <c r="A701" s="64" t="s">
        <v>1688</v>
      </c>
      <c r="B701" s="104" t="s">
        <v>349</v>
      </c>
      <c r="C701" s="104" t="s">
        <v>1689</v>
      </c>
      <c r="D701" s="105" t="s">
        <v>354</v>
      </c>
      <c r="E701" s="106">
        <v>4</v>
      </c>
      <c r="F701" s="108" t="s">
        <v>518</v>
      </c>
      <c r="G701" s="107"/>
      <c r="M701" s="104">
        <v>30</v>
      </c>
      <c r="N701" s="104" t="s">
        <v>1655</v>
      </c>
      <c r="O701" s="105" t="s">
        <v>1622</v>
      </c>
      <c r="P701" s="104" t="s">
        <v>540</v>
      </c>
      <c r="Q701" s="105" t="s">
        <v>619</v>
      </c>
    </row>
    <row r="702" spans="1:17" x14ac:dyDescent="0.3">
      <c r="A702" s="70" t="s">
        <v>1688</v>
      </c>
      <c r="B702" s="71" t="s">
        <v>349</v>
      </c>
      <c r="C702" s="71" t="s">
        <v>1687</v>
      </c>
      <c r="D702" s="71"/>
      <c r="E702" s="71"/>
      <c r="F702" s="71" t="s">
        <v>514</v>
      </c>
      <c r="G702" s="72"/>
      <c r="M702" s="71"/>
      <c r="N702" s="71"/>
      <c r="O702" s="71"/>
      <c r="P702" s="71"/>
      <c r="Q702" s="71"/>
    </row>
    <row r="703" spans="1:17" x14ac:dyDescent="0.3">
      <c r="A703" s="64" t="s">
        <v>1690</v>
      </c>
      <c r="B703" s="74" t="s">
        <v>349</v>
      </c>
      <c r="C703" s="74" t="s">
        <v>1691</v>
      </c>
      <c r="D703" s="74"/>
      <c r="E703" s="74"/>
      <c r="F703" s="74" t="s">
        <v>899</v>
      </c>
      <c r="G703" s="75"/>
      <c r="M703" s="74"/>
      <c r="N703" s="74"/>
      <c r="O703" s="74"/>
      <c r="P703" s="74"/>
      <c r="Q703" s="74"/>
    </row>
    <row r="704" spans="1:17" x14ac:dyDescent="0.3">
      <c r="A704" s="64" t="s">
        <v>1690</v>
      </c>
      <c r="B704" s="104" t="s">
        <v>349</v>
      </c>
      <c r="C704" s="104" t="s">
        <v>1692</v>
      </c>
      <c r="D704" s="105" t="s">
        <v>354</v>
      </c>
      <c r="E704" s="106">
        <v>5</v>
      </c>
      <c r="F704" s="106" t="s">
        <v>901</v>
      </c>
      <c r="G704" s="107"/>
      <c r="M704" s="104">
        <v>30</v>
      </c>
      <c r="N704" s="104" t="s">
        <v>1655</v>
      </c>
      <c r="O704" s="105" t="s">
        <v>1622</v>
      </c>
      <c r="P704" s="104" t="s">
        <v>540</v>
      </c>
      <c r="Q704" s="105" t="s">
        <v>242</v>
      </c>
    </row>
    <row r="705" spans="1:17" x14ac:dyDescent="0.3">
      <c r="A705" s="64" t="s">
        <v>1693</v>
      </c>
      <c r="B705" s="104" t="s">
        <v>349</v>
      </c>
      <c r="C705" s="104" t="s">
        <v>1694</v>
      </c>
      <c r="D705" s="105" t="s">
        <v>354</v>
      </c>
      <c r="E705" s="106">
        <v>5</v>
      </c>
      <c r="F705" s="108" t="s">
        <v>1695</v>
      </c>
      <c r="G705" s="107"/>
      <c r="M705" s="104">
        <v>30</v>
      </c>
      <c r="N705" s="104" t="s">
        <v>1655</v>
      </c>
      <c r="O705" s="105" t="s">
        <v>1622</v>
      </c>
      <c r="P705" s="104" t="s">
        <v>399</v>
      </c>
      <c r="Q705" s="105" t="s">
        <v>48</v>
      </c>
    </row>
    <row r="706" spans="1:17" x14ac:dyDescent="0.3">
      <c r="A706" s="70" t="s">
        <v>1693</v>
      </c>
      <c r="B706" s="71" t="s">
        <v>349</v>
      </c>
      <c r="C706" s="71" t="s">
        <v>1696</v>
      </c>
      <c r="D706" s="71"/>
      <c r="E706" s="71"/>
      <c r="F706" s="71" t="s">
        <v>1697</v>
      </c>
      <c r="G706" s="72"/>
      <c r="M706" s="71"/>
      <c r="N706" s="71"/>
      <c r="O706" s="71"/>
      <c r="P706" s="71"/>
      <c r="Q706" s="71"/>
    </row>
    <row r="707" spans="1:17" x14ac:dyDescent="0.3">
      <c r="A707" s="64" t="s">
        <v>1698</v>
      </c>
      <c r="B707" s="74" t="s">
        <v>349</v>
      </c>
      <c r="C707" s="74" t="s">
        <v>1699</v>
      </c>
      <c r="D707" s="74"/>
      <c r="E707" s="74"/>
      <c r="F707" s="74" t="s">
        <v>34</v>
      </c>
      <c r="G707" s="75"/>
      <c r="M707" s="74"/>
      <c r="N707" s="74"/>
      <c r="O707" s="74"/>
      <c r="P707" s="74"/>
      <c r="Q707" s="74"/>
    </row>
    <row r="708" spans="1:17" x14ac:dyDescent="0.3">
      <c r="A708" s="64" t="s">
        <v>1698</v>
      </c>
      <c r="B708" s="104" t="s">
        <v>349</v>
      </c>
      <c r="C708" s="104" t="s">
        <v>1700</v>
      </c>
      <c r="D708" s="105" t="s">
        <v>354</v>
      </c>
      <c r="E708" s="106">
        <v>2</v>
      </c>
      <c r="F708" s="108" t="s">
        <v>36</v>
      </c>
      <c r="G708" s="107"/>
      <c r="M708" s="104">
        <v>30</v>
      </c>
      <c r="N708" s="104" t="s">
        <v>1655</v>
      </c>
      <c r="O708" s="105" t="s">
        <v>1646</v>
      </c>
      <c r="P708" s="104" t="s">
        <v>540</v>
      </c>
      <c r="Q708" s="105" t="s">
        <v>48</v>
      </c>
    </row>
    <row r="709" spans="1:17" x14ac:dyDescent="0.3">
      <c r="A709" s="64" t="s">
        <v>1701</v>
      </c>
      <c r="B709" s="104" t="s">
        <v>349</v>
      </c>
      <c r="C709" s="104" t="s">
        <v>1702</v>
      </c>
      <c r="D709" s="105" t="s">
        <v>354</v>
      </c>
      <c r="E709" s="106">
        <v>4</v>
      </c>
      <c r="F709" s="108" t="s">
        <v>308</v>
      </c>
      <c r="G709" s="107"/>
      <c r="M709" s="104">
        <v>30</v>
      </c>
      <c r="N709" s="104" t="s">
        <v>1655</v>
      </c>
      <c r="O709" s="105" t="s">
        <v>1646</v>
      </c>
      <c r="P709" s="104" t="s">
        <v>540</v>
      </c>
      <c r="Q709" s="105" t="s">
        <v>616</v>
      </c>
    </row>
    <row r="710" spans="1:17" x14ac:dyDescent="0.3">
      <c r="A710" s="70" t="s">
        <v>1701</v>
      </c>
      <c r="B710" s="71" t="s">
        <v>349</v>
      </c>
      <c r="C710" s="71" t="s">
        <v>1703</v>
      </c>
      <c r="D710" s="71"/>
      <c r="E710" s="71"/>
      <c r="F710" s="71" t="s">
        <v>305</v>
      </c>
      <c r="G710" s="72"/>
      <c r="M710" s="71"/>
      <c r="N710" s="71"/>
      <c r="O710" s="71"/>
      <c r="P710" s="71"/>
      <c r="Q710" s="71"/>
    </row>
    <row r="711" spans="1:17" x14ac:dyDescent="0.3">
      <c r="A711" s="64" t="s">
        <v>1704</v>
      </c>
      <c r="B711" s="104" t="s">
        <v>349</v>
      </c>
      <c r="C711" s="104" t="s">
        <v>1705</v>
      </c>
      <c r="D711" s="105" t="s">
        <v>354</v>
      </c>
      <c r="E711" s="106">
        <v>9</v>
      </c>
      <c r="F711" s="108" t="s">
        <v>1060</v>
      </c>
      <c r="G711" s="107"/>
      <c r="M711" s="104">
        <v>30</v>
      </c>
      <c r="N711" s="104" t="s">
        <v>1655</v>
      </c>
      <c r="O711" s="105" t="s">
        <v>1646</v>
      </c>
      <c r="P711" s="104" t="s">
        <v>540</v>
      </c>
      <c r="Q711" s="105" t="s">
        <v>619</v>
      </c>
    </row>
    <row r="712" spans="1:17" x14ac:dyDescent="0.3">
      <c r="A712" s="64" t="s">
        <v>1704</v>
      </c>
      <c r="B712" s="74" t="s">
        <v>349</v>
      </c>
      <c r="C712" s="74" t="s">
        <v>1703</v>
      </c>
      <c r="D712" s="74"/>
      <c r="E712" s="74"/>
      <c r="F712" s="74" t="s">
        <v>1058</v>
      </c>
      <c r="G712" s="75"/>
      <c r="M712" s="74"/>
      <c r="N712" s="74"/>
      <c r="O712" s="74"/>
      <c r="P712" s="74"/>
      <c r="Q712" s="74"/>
    </row>
    <row r="713" spans="1:17" x14ac:dyDescent="0.3">
      <c r="A713" s="70" t="s">
        <v>1706</v>
      </c>
      <c r="B713" s="71" t="s">
        <v>349</v>
      </c>
      <c r="C713" s="71" t="s">
        <v>1707</v>
      </c>
      <c r="D713" s="71"/>
      <c r="E713" s="71"/>
      <c r="F713" s="71" t="s">
        <v>521</v>
      </c>
      <c r="G713" s="72"/>
      <c r="M713" s="71"/>
      <c r="N713" s="71"/>
      <c r="O713" s="71"/>
      <c r="P713" s="71"/>
      <c r="Q713" s="71"/>
    </row>
    <row r="714" spans="1:17" x14ac:dyDescent="0.3">
      <c r="A714" s="64" t="s">
        <v>1706</v>
      </c>
      <c r="B714" s="104" t="s">
        <v>349</v>
      </c>
      <c r="C714" s="104" t="s">
        <v>1708</v>
      </c>
      <c r="D714" s="105" t="s">
        <v>354</v>
      </c>
      <c r="E714" s="106">
        <v>5</v>
      </c>
      <c r="F714" s="106" t="s">
        <v>522</v>
      </c>
      <c r="G714" s="107"/>
      <c r="M714" s="104">
        <v>30</v>
      </c>
      <c r="N714" s="104" t="s">
        <v>1655</v>
      </c>
      <c r="O714" s="105" t="s">
        <v>1646</v>
      </c>
      <c r="P714" s="104" t="s">
        <v>540</v>
      </c>
      <c r="Q714" s="105" t="s">
        <v>248</v>
      </c>
    </row>
    <row r="715" spans="1:17" x14ac:dyDescent="0.3">
      <c r="A715" s="64" t="s">
        <v>1709</v>
      </c>
      <c r="B715" s="104" t="s">
        <v>349</v>
      </c>
      <c r="C715" s="104" t="s">
        <v>1710</v>
      </c>
      <c r="D715" s="105" t="s">
        <v>354</v>
      </c>
      <c r="E715" s="106">
        <v>6</v>
      </c>
      <c r="F715" s="108" t="s">
        <v>212</v>
      </c>
      <c r="G715" s="107"/>
      <c r="M715" s="104">
        <v>30</v>
      </c>
      <c r="N715" s="104" t="s">
        <v>1655</v>
      </c>
      <c r="O715" s="105" t="s">
        <v>1646</v>
      </c>
      <c r="P715" s="104" t="s">
        <v>399</v>
      </c>
      <c r="Q715" s="105" t="s">
        <v>48</v>
      </c>
    </row>
    <row r="716" spans="1:17" x14ac:dyDescent="0.3">
      <c r="A716" s="64" t="s">
        <v>1709</v>
      </c>
      <c r="B716" s="74" t="s">
        <v>349</v>
      </c>
      <c r="C716" s="74" t="s">
        <v>1696</v>
      </c>
      <c r="D716" s="74"/>
      <c r="E716" s="74"/>
      <c r="F716" s="74" t="s">
        <v>207</v>
      </c>
      <c r="G716" s="75"/>
      <c r="M716" s="74"/>
      <c r="N716" s="74"/>
      <c r="O716" s="74"/>
      <c r="P716" s="74"/>
      <c r="Q716" s="74"/>
    </row>
    <row r="717" spans="1:17" x14ac:dyDescent="0.3">
      <c r="A717" s="70" t="s">
        <v>1711</v>
      </c>
      <c r="B717" s="71" t="s">
        <v>349</v>
      </c>
      <c r="C717" s="71" t="s">
        <v>1712</v>
      </c>
      <c r="D717" s="71"/>
      <c r="E717" s="71"/>
      <c r="F717" s="71" t="s">
        <v>1262</v>
      </c>
      <c r="G717" s="72"/>
      <c r="M717" s="71"/>
      <c r="N717" s="71"/>
      <c r="O717" s="71"/>
      <c r="P717" s="71"/>
      <c r="Q717" s="71"/>
    </row>
    <row r="718" spans="1:17" x14ac:dyDescent="0.3">
      <c r="A718" s="64" t="s">
        <v>1713</v>
      </c>
      <c r="B718" s="74" t="s">
        <v>349</v>
      </c>
      <c r="C718" s="74" t="s">
        <v>1714</v>
      </c>
      <c r="D718" s="74"/>
      <c r="E718" s="74"/>
      <c r="F718" s="74" t="s">
        <v>1715</v>
      </c>
      <c r="G718" s="75"/>
      <c r="M718" s="74"/>
      <c r="N718" s="74"/>
      <c r="O718" s="74"/>
      <c r="P718" s="74"/>
      <c r="Q718" s="74"/>
    </row>
    <row r="719" spans="1:17" x14ac:dyDescent="0.3">
      <c r="A719" s="64" t="s">
        <v>1716</v>
      </c>
      <c r="B719" s="98" t="s">
        <v>1407</v>
      </c>
      <c r="C719" s="98" t="s">
        <v>1718</v>
      </c>
      <c r="D719" s="99" t="s">
        <v>1719</v>
      </c>
      <c r="E719" s="100">
        <v>3</v>
      </c>
      <c r="F719" s="103" t="s">
        <v>884</v>
      </c>
      <c r="G719" s="101"/>
      <c r="M719" s="98">
        <v>30</v>
      </c>
      <c r="N719" s="98" t="s">
        <v>1717</v>
      </c>
      <c r="O719" s="99" t="s">
        <v>264</v>
      </c>
      <c r="P719" s="98" t="s">
        <v>399</v>
      </c>
      <c r="Q719" s="99" t="s">
        <v>82</v>
      </c>
    </row>
    <row r="720" spans="1:17" x14ac:dyDescent="0.3">
      <c r="A720" s="70" t="s">
        <v>1716</v>
      </c>
      <c r="B720" s="71" t="s">
        <v>1407</v>
      </c>
      <c r="C720" s="71" t="s">
        <v>1720</v>
      </c>
      <c r="D720" s="71"/>
      <c r="E720" s="71"/>
      <c r="F720" s="71" t="s">
        <v>882</v>
      </c>
      <c r="G720" s="72"/>
      <c r="M720" s="71"/>
      <c r="N720" s="71"/>
      <c r="O720" s="71"/>
      <c r="P720" s="71"/>
      <c r="Q720" s="71"/>
    </row>
    <row r="721" spans="1:17" x14ac:dyDescent="0.3">
      <c r="A721" s="64" t="s">
        <v>1721</v>
      </c>
      <c r="B721" s="98" t="s">
        <v>1407</v>
      </c>
      <c r="C721" s="98" t="s">
        <v>1722</v>
      </c>
      <c r="D721" s="99" t="s">
        <v>1719</v>
      </c>
      <c r="E721" s="100">
        <v>2</v>
      </c>
      <c r="F721" s="103" t="s">
        <v>1723</v>
      </c>
      <c r="G721" s="101"/>
      <c r="M721" s="98">
        <v>30</v>
      </c>
      <c r="N721" s="98" t="s">
        <v>1717</v>
      </c>
      <c r="O721" s="99" t="s">
        <v>270</v>
      </c>
      <c r="P721" s="98" t="s">
        <v>399</v>
      </c>
      <c r="Q721" s="99" t="s">
        <v>82</v>
      </c>
    </row>
    <row r="722" spans="1:17" x14ac:dyDescent="0.3">
      <c r="A722" s="64" t="s">
        <v>1721</v>
      </c>
      <c r="B722" s="74" t="s">
        <v>1407</v>
      </c>
      <c r="C722" s="74" t="s">
        <v>1724</v>
      </c>
      <c r="D722" s="74"/>
      <c r="E722" s="74"/>
      <c r="F722" s="74" t="s">
        <v>1725</v>
      </c>
      <c r="G722" s="75"/>
      <c r="M722" s="74"/>
      <c r="N722" s="74"/>
      <c r="O722" s="74"/>
      <c r="P722" s="74"/>
      <c r="Q722" s="74"/>
    </row>
    <row r="723" spans="1:17" x14ac:dyDescent="0.3">
      <c r="A723" s="64" t="s">
        <v>1027</v>
      </c>
      <c r="B723" s="76" t="s">
        <v>38</v>
      </c>
      <c r="C723" s="76" t="s">
        <v>1726</v>
      </c>
      <c r="D723" s="77" t="s">
        <v>1727</v>
      </c>
      <c r="E723" s="78"/>
      <c r="F723" s="78"/>
      <c r="G723" s="79"/>
      <c r="M723" s="76">
        <v>30</v>
      </c>
      <c r="N723" s="76" t="s">
        <v>1028</v>
      </c>
      <c r="O723" s="77" t="s">
        <v>270</v>
      </c>
      <c r="P723" s="76" t="s">
        <v>399</v>
      </c>
      <c r="Q723" s="77" t="s">
        <v>48</v>
      </c>
    </row>
    <row r="724" spans="1:17" x14ac:dyDescent="0.3">
      <c r="A724" s="64" t="s">
        <v>1030</v>
      </c>
      <c r="B724" s="76" t="s">
        <v>38</v>
      </c>
      <c r="C724" s="76" t="s">
        <v>1728</v>
      </c>
      <c r="D724" s="77" t="s">
        <v>1727</v>
      </c>
      <c r="E724" s="78"/>
      <c r="F724" s="78"/>
      <c r="G724" s="79"/>
      <c r="M724" s="76">
        <v>30</v>
      </c>
      <c r="N724" s="76" t="s">
        <v>1028</v>
      </c>
      <c r="O724" s="77" t="s">
        <v>270</v>
      </c>
      <c r="P724" s="76" t="s">
        <v>399</v>
      </c>
      <c r="Q724" s="77" t="s">
        <v>233</v>
      </c>
    </row>
    <row r="725" spans="1:17" x14ac:dyDescent="0.3">
      <c r="A725" s="64" t="s">
        <v>1032</v>
      </c>
      <c r="B725" s="76" t="s">
        <v>38</v>
      </c>
      <c r="C725" s="76" t="s">
        <v>1729</v>
      </c>
      <c r="D725" s="77" t="s">
        <v>1730</v>
      </c>
      <c r="E725" s="78"/>
      <c r="F725" s="78"/>
      <c r="G725" s="79"/>
      <c r="M725" s="76">
        <v>30</v>
      </c>
      <c r="N725" s="76" t="s">
        <v>1028</v>
      </c>
      <c r="O725" s="77" t="s">
        <v>459</v>
      </c>
      <c r="P725" s="76" t="s">
        <v>399</v>
      </c>
      <c r="Q725" s="77" t="s">
        <v>48</v>
      </c>
    </row>
    <row r="726" spans="1:17" x14ac:dyDescent="0.3">
      <c r="A726" s="64" t="s">
        <v>1034</v>
      </c>
      <c r="B726" s="76" t="s">
        <v>38</v>
      </c>
      <c r="C726" s="76" t="s">
        <v>1731</v>
      </c>
      <c r="D726" s="77" t="s">
        <v>1730</v>
      </c>
      <c r="E726" s="78"/>
      <c r="F726" s="78"/>
      <c r="G726" s="79"/>
      <c r="M726" s="76">
        <v>30</v>
      </c>
      <c r="N726" s="76" t="s">
        <v>1028</v>
      </c>
      <c r="O726" s="77" t="s">
        <v>459</v>
      </c>
      <c r="P726" s="76" t="s">
        <v>399</v>
      </c>
      <c r="Q726" s="77" t="s">
        <v>233</v>
      </c>
    </row>
    <row r="727" spans="1:17" x14ac:dyDescent="0.3">
      <c r="A727" s="109" t="s">
        <v>1732</v>
      </c>
      <c r="B727" s="22" t="s">
        <v>65</v>
      </c>
      <c r="C727" s="19" t="s">
        <v>1734</v>
      </c>
      <c r="D727" s="22" t="s">
        <v>51</v>
      </c>
      <c r="E727" s="110">
        <v>3</v>
      </c>
      <c r="F727" s="110" t="s">
        <v>72</v>
      </c>
      <c r="G727" s="111"/>
      <c r="M727" s="19">
        <v>30</v>
      </c>
      <c r="N727" s="19" t="s">
        <v>1733</v>
      </c>
      <c r="O727" s="22" t="s">
        <v>443</v>
      </c>
      <c r="P727" s="19" t="s">
        <v>273</v>
      </c>
      <c r="Q727" s="22" t="s">
        <v>48</v>
      </c>
    </row>
    <row r="728" spans="1:17" x14ac:dyDescent="0.3">
      <c r="A728" s="112" t="s">
        <v>1735</v>
      </c>
      <c r="B728" s="4"/>
      <c r="C728" s="4" t="s">
        <v>1736</v>
      </c>
      <c r="D728" s="4"/>
      <c r="E728" s="4"/>
      <c r="F728" s="4"/>
      <c r="G728" s="4" t="s">
        <v>1423</v>
      </c>
      <c r="M728" s="4"/>
      <c r="N728" s="4"/>
      <c r="O728" s="4"/>
      <c r="P728" s="4"/>
      <c r="Q728" s="4"/>
    </row>
    <row r="729" spans="1:17" x14ac:dyDescent="0.3">
      <c r="A729" s="113" t="s">
        <v>1737</v>
      </c>
      <c r="B729" s="18" t="s">
        <v>49</v>
      </c>
      <c r="C729" s="9" t="s">
        <v>1738</v>
      </c>
      <c r="D729" s="18" t="s">
        <v>51</v>
      </c>
      <c r="E729" s="114">
        <v>8</v>
      </c>
      <c r="F729" s="114" t="s">
        <v>1739</v>
      </c>
      <c r="G729" s="115"/>
      <c r="M729" s="9">
        <v>30</v>
      </c>
      <c r="N729" s="9" t="s">
        <v>1733</v>
      </c>
      <c r="O729" s="18" t="s">
        <v>448</v>
      </c>
      <c r="P729" s="9" t="s">
        <v>273</v>
      </c>
      <c r="Q729" s="18" t="s">
        <v>48</v>
      </c>
    </row>
    <row r="730" spans="1:17" x14ac:dyDescent="0.3">
      <c r="A730" s="116" t="s">
        <v>1740</v>
      </c>
      <c r="C730" t="s">
        <v>1741</v>
      </c>
      <c r="G730" t="s">
        <v>1742</v>
      </c>
    </row>
    <row r="731" spans="1:17" x14ac:dyDescent="0.3">
      <c r="A731" s="109" t="s">
        <v>1743</v>
      </c>
      <c r="B731" s="22" t="s">
        <v>65</v>
      </c>
      <c r="C731" s="19" t="s">
        <v>1744</v>
      </c>
      <c r="D731" s="22" t="s">
        <v>51</v>
      </c>
      <c r="E731" s="110">
        <v>4</v>
      </c>
      <c r="F731" s="110" t="s">
        <v>1745</v>
      </c>
      <c r="G731" s="111"/>
      <c r="M731" s="19">
        <v>30</v>
      </c>
      <c r="N731" s="19" t="s">
        <v>1733</v>
      </c>
      <c r="O731" s="22" t="s">
        <v>1622</v>
      </c>
      <c r="P731" s="19" t="s">
        <v>273</v>
      </c>
      <c r="Q731" s="22" t="s">
        <v>48</v>
      </c>
    </row>
    <row r="732" spans="1:17" x14ac:dyDescent="0.3">
      <c r="A732" s="112" t="s">
        <v>1746</v>
      </c>
      <c r="B732" s="4"/>
      <c r="C732" s="4" t="s">
        <v>1747</v>
      </c>
      <c r="D732" s="4"/>
      <c r="E732" s="4"/>
      <c r="F732" s="4"/>
      <c r="G732" s="4" t="s">
        <v>1144</v>
      </c>
      <c r="M732" s="4"/>
      <c r="N732" s="4"/>
      <c r="O732" s="4"/>
      <c r="P732" s="4"/>
      <c r="Q732" s="4"/>
    </row>
    <row r="733" spans="1:17" x14ac:dyDescent="0.3">
      <c r="A733" s="116" t="s">
        <v>1748</v>
      </c>
      <c r="B733" s="9" t="s">
        <v>16</v>
      </c>
      <c r="C733" s="9" t="s">
        <v>1749</v>
      </c>
      <c r="D733" s="18"/>
      <c r="E733" s="114">
        <v>3</v>
      </c>
      <c r="F733" s="114" t="s">
        <v>492</v>
      </c>
      <c r="G733" s="115"/>
      <c r="M733" s="9">
        <v>30</v>
      </c>
      <c r="N733" s="9" t="s">
        <v>1733</v>
      </c>
      <c r="O733" s="18" t="s">
        <v>264</v>
      </c>
      <c r="P733" s="9" t="s">
        <v>436</v>
      </c>
      <c r="Q733" s="18" t="s">
        <v>233</v>
      </c>
    </row>
    <row r="734" spans="1:17" x14ac:dyDescent="0.3">
      <c r="A734" s="116" t="s">
        <v>1750</v>
      </c>
      <c r="B734" s="9" t="s">
        <v>16</v>
      </c>
      <c r="C734" s="9" t="s">
        <v>1751</v>
      </c>
      <c r="D734" s="18"/>
      <c r="E734" s="114">
        <v>3</v>
      </c>
      <c r="F734" s="117" t="s">
        <v>221</v>
      </c>
      <c r="G734" s="115"/>
      <c r="M734" s="9">
        <v>30</v>
      </c>
      <c r="N734" s="9" t="s">
        <v>1733</v>
      </c>
      <c r="O734" s="9">
        <v>12</v>
      </c>
      <c r="P734" s="9" t="s">
        <v>436</v>
      </c>
      <c r="Q734" s="18" t="s">
        <v>233</v>
      </c>
    </row>
    <row r="735" spans="1:17" x14ac:dyDescent="0.3">
      <c r="A735" s="116" t="s">
        <v>1752</v>
      </c>
      <c r="C735" t="s">
        <v>1753</v>
      </c>
      <c r="G735" t="s">
        <v>5</v>
      </c>
    </row>
    <row r="736" spans="1:17" x14ac:dyDescent="0.3">
      <c r="A736" s="116" t="s">
        <v>1754</v>
      </c>
      <c r="B736" s="9" t="s">
        <v>16</v>
      </c>
      <c r="C736" s="9" t="s">
        <v>1755</v>
      </c>
      <c r="D736" s="18"/>
      <c r="E736" s="114">
        <v>1</v>
      </c>
      <c r="F736" s="114" t="s">
        <v>938</v>
      </c>
      <c r="G736" s="115"/>
      <c r="M736" s="9">
        <v>32</v>
      </c>
      <c r="N736" s="9" t="s">
        <v>1107</v>
      </c>
      <c r="O736" s="9">
        <v>95</v>
      </c>
      <c r="P736" s="9" t="s">
        <v>540</v>
      </c>
      <c r="Q736" s="18" t="s">
        <v>48</v>
      </c>
    </row>
    <row r="737" spans="1:3" x14ac:dyDescent="0.3">
      <c r="A737" s="116" t="s">
        <v>1756</v>
      </c>
      <c r="C737" t="s">
        <v>1757</v>
      </c>
    </row>
    <row r="738" spans="1:3" x14ac:dyDescent="0.3">
      <c r="A738" s="116" t="s">
        <v>1758</v>
      </c>
      <c r="C738" t="s">
        <v>1759</v>
      </c>
    </row>
    <row r="739" spans="1:3" x14ac:dyDescent="0.3">
      <c r="A739" s="116" t="s">
        <v>1760</v>
      </c>
      <c r="C739" t="s">
        <v>1761</v>
      </c>
    </row>
    <row r="740" spans="1:3" x14ac:dyDescent="0.3">
      <c r="A740" s="116" t="s">
        <v>1762</v>
      </c>
      <c r="C740" t="s">
        <v>1763</v>
      </c>
    </row>
    <row r="741" spans="1:3" x14ac:dyDescent="0.3">
      <c r="A741" s="116" t="s">
        <v>1764</v>
      </c>
      <c r="C741" t="s">
        <v>1765</v>
      </c>
    </row>
    <row r="742" spans="1:3" x14ac:dyDescent="0.3">
      <c r="A742" s="116" t="s">
        <v>1766</v>
      </c>
      <c r="C742" t="s">
        <v>1767</v>
      </c>
    </row>
    <row r="743" spans="1:3" x14ac:dyDescent="0.3">
      <c r="A743" s="116" t="s">
        <v>1768</v>
      </c>
      <c r="C743" t="s">
        <v>1769</v>
      </c>
    </row>
    <row r="744" spans="1:3" x14ac:dyDescent="0.3">
      <c r="A744" s="116" t="s">
        <v>1770</v>
      </c>
      <c r="C744" t="s">
        <v>1771</v>
      </c>
    </row>
    <row r="745" spans="1:3" x14ac:dyDescent="0.3">
      <c r="A745" s="116" t="s">
        <v>1772</v>
      </c>
      <c r="C745" t="s">
        <v>1773</v>
      </c>
    </row>
    <row r="746" spans="1:3" x14ac:dyDescent="0.3">
      <c r="A746" s="116" t="s">
        <v>1774</v>
      </c>
      <c r="C746" t="s">
        <v>1775</v>
      </c>
    </row>
    <row r="747" spans="1:3" x14ac:dyDescent="0.3">
      <c r="A747" s="116" t="s">
        <v>1776</v>
      </c>
      <c r="C747" t="s">
        <v>1777</v>
      </c>
    </row>
    <row r="748" spans="1:3" x14ac:dyDescent="0.3">
      <c r="A748" s="116" t="s">
        <v>1778</v>
      </c>
      <c r="C748" t="s">
        <v>1779</v>
      </c>
    </row>
    <row r="749" spans="1:3" x14ac:dyDescent="0.3">
      <c r="A749" s="116" t="s">
        <v>1780</v>
      </c>
      <c r="C749" t="s">
        <v>1781</v>
      </c>
    </row>
    <row r="750" spans="1:3" x14ac:dyDescent="0.3">
      <c r="A750" s="116" t="s">
        <v>1782</v>
      </c>
      <c r="C750" t="s">
        <v>1783</v>
      </c>
    </row>
    <row r="751" spans="1:3" x14ac:dyDescent="0.3">
      <c r="A751" s="116" t="s">
        <v>1784</v>
      </c>
      <c r="C751" t="s">
        <v>1785</v>
      </c>
    </row>
    <row r="752" spans="1:3" x14ac:dyDescent="0.3">
      <c r="A752" s="116" t="s">
        <v>1786</v>
      </c>
      <c r="C752" t="s">
        <v>1787</v>
      </c>
    </row>
    <row r="753" spans="1:3" x14ac:dyDescent="0.3">
      <c r="A753" s="116" t="s">
        <v>1788</v>
      </c>
      <c r="C753" t="s">
        <v>1789</v>
      </c>
    </row>
    <row r="754" spans="1:3" x14ac:dyDescent="0.3">
      <c r="A754" s="116" t="s">
        <v>1790</v>
      </c>
      <c r="C754" t="s">
        <v>1791</v>
      </c>
    </row>
    <row r="755" spans="1:3" x14ac:dyDescent="0.3">
      <c r="A755" s="116" t="s">
        <v>1792</v>
      </c>
      <c r="C755" t="s">
        <v>1791</v>
      </c>
    </row>
    <row r="756" spans="1:3" x14ac:dyDescent="0.3">
      <c r="A756" s="116" t="s">
        <v>1793</v>
      </c>
      <c r="C756" t="s">
        <v>1794</v>
      </c>
    </row>
    <row r="757" spans="1:3" x14ac:dyDescent="0.3">
      <c r="A757" s="116" t="s">
        <v>1795</v>
      </c>
      <c r="C757" t="s">
        <v>1796</v>
      </c>
    </row>
    <row r="758" spans="1:3" x14ac:dyDescent="0.3">
      <c r="A758" s="116" t="s">
        <v>1797</v>
      </c>
      <c r="C758" s="15" t="s">
        <v>1798</v>
      </c>
    </row>
    <row r="759" spans="1:3" x14ac:dyDescent="0.3">
      <c r="A759" s="116" t="s">
        <v>1799</v>
      </c>
      <c r="C759" s="15" t="s">
        <v>1800</v>
      </c>
    </row>
    <row r="760" spans="1:3" x14ac:dyDescent="0.3">
      <c r="A760" s="116" t="s">
        <v>1801</v>
      </c>
      <c r="C760" s="15" t="s">
        <v>1802</v>
      </c>
    </row>
    <row r="761" spans="1:3" x14ac:dyDescent="0.3">
      <c r="A761" s="116" t="s">
        <v>1803</v>
      </c>
      <c r="C761" s="15" t="s">
        <v>1804</v>
      </c>
    </row>
    <row r="762" spans="1:3" x14ac:dyDescent="0.3">
      <c r="A762" s="116" t="s">
        <v>1805</v>
      </c>
      <c r="C762" s="15" t="s">
        <v>1806</v>
      </c>
    </row>
    <row r="763" spans="1:3" x14ac:dyDescent="0.3">
      <c r="A763" s="116" t="s">
        <v>1807</v>
      </c>
      <c r="C763" s="15" t="s">
        <v>1808</v>
      </c>
    </row>
    <row r="764" spans="1:3" x14ac:dyDescent="0.3">
      <c r="A764" s="116" t="s">
        <v>1809</v>
      </c>
      <c r="C764" s="15" t="s">
        <v>1810</v>
      </c>
    </row>
    <row r="765" spans="1:3" x14ac:dyDescent="0.3">
      <c r="A765" s="116" t="s">
        <v>1811</v>
      </c>
      <c r="C765" s="15" t="s">
        <v>1812</v>
      </c>
    </row>
    <row r="766" spans="1:3" x14ac:dyDescent="0.3">
      <c r="A766" s="116" t="s">
        <v>1813</v>
      </c>
      <c r="C766" s="15" t="s">
        <v>1814</v>
      </c>
    </row>
    <row r="767" spans="1:3" x14ac:dyDescent="0.3">
      <c r="A767" s="116" t="s">
        <v>1815</v>
      </c>
      <c r="C767" s="15" t="s">
        <v>1816</v>
      </c>
    </row>
  </sheetData>
  <autoFilter ref="A1:G1" xr:uid="{38FEA978-F71E-44C0-8F3C-2808F49EC677}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50243f8b-2b9f-433c-964a-16fcace7db7f}" enabled="1" method="Standard" siteId="{aec650de-3432-485f-a3e8-9ac6e670969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Canu Marco</dc:creator>
  <cp:lastModifiedBy>Canu Marco</cp:lastModifiedBy>
  <dcterms:created xsi:type="dcterms:W3CDTF">2026-03-11T10:46:22Z</dcterms:created>
  <dcterms:modified xsi:type="dcterms:W3CDTF">2026-03-11T12:03:39Z</dcterms:modified>
</cp:coreProperties>
</file>